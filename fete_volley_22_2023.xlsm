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7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9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1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6.xml" ContentType="application/vnd.openxmlformats-officedocument.spreadsheetml.comments+xml"/>
  <Override PartName="/xl/drawings/drawing1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15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66" codeName="{3D1A710C-6663-3D7B-7F91-EC182F24A4BC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F:\Lycée 2022_2023\Fête VB 23\"/>
    </mc:Choice>
  </mc:AlternateContent>
  <xr:revisionPtr revIDLastSave="0" documentId="13_ncr:1_{4510762C-7A70-4691-BC22-BBBDC359228A}" xr6:coauthVersionLast="36" xr6:coauthVersionMax="47" xr10:uidLastSave="{00000000-0000-0000-0000-000000000000}"/>
  <bookViews>
    <workbookView xWindow="-120" yWindow="-120" windowWidth="20730" windowHeight="11160" tabRatio="826" activeTab="6" xr2:uid="{00000000-000D-0000-FFFF-FFFF00000000}"/>
  </bookViews>
  <sheets>
    <sheet name="Init" sheetId="24" r:id="rId1"/>
    <sheet name="POULE1" sheetId="1" r:id="rId2"/>
    <sheet name="POULE 2" sheetId="6" r:id="rId3"/>
    <sheet name="POULE 3" sheetId="7" r:id="rId4"/>
    <sheet name="Arb_Coul" sheetId="26" r:id="rId5"/>
    <sheet name="Pool_arbitres" sheetId="25" r:id="rId6"/>
    <sheet name="Ordre" sheetId="17" r:id="rId7"/>
    <sheet name="Ordre (2)" sheetId="23" state="hidden" r:id="rId8"/>
    <sheet name="Ordrepoule5" sheetId="21" state="hidden" r:id="rId9"/>
    <sheet name="resu_manuel" sheetId="19" r:id="rId10"/>
    <sheet name="resu_manuel (5)" sheetId="22" state="hidden" r:id="rId11"/>
    <sheet name="résultats POULE 1" sheetId="2" r:id="rId12"/>
    <sheet name="résultats POULE 2" sheetId="8" r:id="rId13"/>
    <sheet name="résultats POULE 3" sheetId="9" r:id="rId14"/>
    <sheet name="résultats non classés Poul1" sheetId="3" r:id="rId15"/>
    <sheet name="résultats non classés Poul2" sheetId="10" r:id="rId16"/>
    <sheet name="résultats non classés Poul3" sheetId="14" r:id="rId17"/>
    <sheet name="classement final poul 1" sheetId="4" r:id="rId18"/>
    <sheet name="classement final poul 2" sheetId="12" r:id="rId19"/>
    <sheet name="classement final poul 3" sheetId="13" r:id="rId20"/>
    <sheet name="Quart_finale" sheetId="16" r:id="rId21"/>
    <sheet name="Module1" sheetId="5" state="veryHidden" r:id=""/>
    <sheet name="Demi-F" sheetId="18" r:id="rId22"/>
  </sheets>
  <definedNames>
    <definedName name="base5">resu_manuel!$W$7:$X$25</definedName>
    <definedName name="base6">resu_manuel!$T$7:$U$35</definedName>
    <definedName name="demi1">'Demi-F'!$V$7:$W$9</definedName>
    <definedName name="demi2">'Demi-F'!$V$15:$W$17</definedName>
    <definedName name="eqLycT1">Ordre!$Q$43</definedName>
    <definedName name="eqLycT2">Ordre!$Q$45</definedName>
    <definedName name="eqLycT3">Ordre!$Q$47</definedName>
    <definedName name="eqTouT1">Ordre!$R$43</definedName>
    <definedName name="eqTouT2">Ordre!$R$45</definedName>
    <definedName name="eqTouT3">Ordre!$R$47</definedName>
    <definedName name="groupe6">resu_manuel!$AB$7:$AD$35</definedName>
    <definedName name="groupe7">resu_manuel!$Y$7:$AA$48</definedName>
    <definedName name="LycarbT1">POULE1!$B$3:$D$9</definedName>
    <definedName name="LycarbT2">'POULE 2'!$B$3:$D$9</definedName>
    <definedName name="lycarbt3">'POULE 3'!$B$3:$D$9</definedName>
    <definedName name="LycT1">POULE1!$B$3:$C$9</definedName>
    <definedName name="LycT2">'POULE 2'!$B$3:$C$9</definedName>
    <definedName name="LycT3">'POULE 3'!$B$3:$C$9</definedName>
    <definedName name="pool_arb">Pool_arbitres!$D$8:$K$13</definedName>
    <definedName name="pool1">Pool_arbitres!$D$8:$E$8</definedName>
    <definedName name="pool2">Pool_arbitres!$D$9:$E$9</definedName>
    <definedName name="pool3">Pool_arbitres!$D$10:$E$10</definedName>
    <definedName name="pool4">Pool_arbitres!$D$11:$E$11</definedName>
    <definedName name="pool5">Pool_arbitres!$D$12:$E$12</definedName>
    <definedName name="pool6">Pool_arbitres!$D$13:$E$13</definedName>
    <definedName name="poulelyc">'Ordre (2)'!$R$53:$S$57</definedName>
    <definedName name="pouletou">'Ordre (2)'!$R$53:$T$57</definedName>
    <definedName name="ppulelyc">'Ordre (2)'!$R$53:$S$57</definedName>
    <definedName name="resuLycT1">'résultats POULE 1'!$A$5:$N$25</definedName>
    <definedName name="resuLycT2">'résultats POULE 2'!$A$5:$N$25</definedName>
    <definedName name="resuLycT3">'résultats POULE 3'!$A$5:$N$25</definedName>
    <definedName name="terrain_arb">Ordre!$V$7:$V$11</definedName>
    <definedName name="TouarbT1">POULE1!$F$3:$H$9</definedName>
    <definedName name="TouarbT2">'POULE 2'!$F$3:$H$9</definedName>
    <definedName name="TouarbT3">'POULE 3'!$F$3:$H$8</definedName>
    <definedName name="TouT1">POULE1!$F$3:$G$9</definedName>
    <definedName name="TouT2">'POULE 2'!$F$3:$G$9</definedName>
    <definedName name="TouT3">'POULE 3'!$F$3:$G$8</definedName>
    <definedName name="_xlnm.Print_Area" localSheetId="2">'POULE 2'!$B$1:$H$8</definedName>
    <definedName name="_xlnm.Print_Area" localSheetId="3">'POULE 3'!$B$1:$H$8</definedName>
    <definedName name="_xlnm.Print_Area" localSheetId="1">POULE1!$B$2:$H$8</definedName>
    <definedName name="_xlnm.Print_Area" localSheetId="9">resu_manuel!$A$1:$P$64</definedName>
  </definedNames>
  <calcPr calcId="191029"/>
</workbook>
</file>

<file path=xl/calcChain.xml><?xml version="1.0" encoding="utf-8"?>
<calcChain xmlns="http://schemas.openxmlformats.org/spreadsheetml/2006/main">
  <c r="F31" i="26" l="1"/>
  <c r="G31" i="26"/>
  <c r="B31" i="26"/>
  <c r="C31" i="26"/>
  <c r="F21" i="26"/>
  <c r="B21" i="26"/>
  <c r="F11" i="26"/>
  <c r="B11" i="26"/>
  <c r="G21" i="26"/>
  <c r="C21" i="26"/>
  <c r="G11" i="26"/>
  <c r="C11" i="26"/>
  <c r="K13" i="25"/>
  <c r="J13" i="25"/>
  <c r="I13" i="25"/>
  <c r="H13" i="25"/>
  <c r="G13" i="25"/>
  <c r="F13" i="25"/>
  <c r="E13" i="25"/>
  <c r="K12" i="25"/>
  <c r="J12" i="25"/>
  <c r="I12" i="25"/>
  <c r="H12" i="25"/>
  <c r="G12" i="25"/>
  <c r="F12" i="25"/>
  <c r="E12" i="25"/>
  <c r="K11" i="25"/>
  <c r="J11" i="25"/>
  <c r="I11" i="25"/>
  <c r="H11" i="25"/>
  <c r="G11" i="25"/>
  <c r="F11" i="25"/>
  <c r="E11" i="25"/>
  <c r="K10" i="25"/>
  <c r="J10" i="25"/>
  <c r="I10" i="25"/>
  <c r="H10" i="25"/>
  <c r="G10" i="25"/>
  <c r="F10" i="25"/>
  <c r="E10" i="25"/>
  <c r="K9" i="25"/>
  <c r="J9" i="25"/>
  <c r="I9" i="25"/>
  <c r="H9" i="25"/>
  <c r="G9" i="25"/>
  <c r="F9" i="25"/>
  <c r="E9" i="25"/>
  <c r="J8" i="25"/>
  <c r="I8" i="25"/>
  <c r="H8" i="25"/>
  <c r="G8" i="25"/>
  <c r="F8" i="25"/>
  <c r="E8" i="25"/>
  <c r="D24" i="9" l="1"/>
  <c r="D20" i="9"/>
  <c r="D17" i="9"/>
  <c r="B15" i="9"/>
  <c r="D11" i="9"/>
  <c r="B7" i="9"/>
  <c r="D25" i="9"/>
  <c r="D22" i="9"/>
  <c r="D18" i="9"/>
  <c r="B14" i="9"/>
  <c r="D10" i="9"/>
  <c r="D7" i="9"/>
  <c r="B24" i="9"/>
  <c r="B21" i="9"/>
  <c r="B18" i="9"/>
  <c r="B12" i="9"/>
  <c r="D9" i="9"/>
  <c r="D6" i="9"/>
  <c r="D23" i="9"/>
  <c r="D19" i="9"/>
  <c r="B17" i="9"/>
  <c r="D13" i="9"/>
  <c r="B10" i="9"/>
  <c r="B6" i="9"/>
  <c r="B25" i="9"/>
  <c r="B20" i="9"/>
  <c r="B16" i="9"/>
  <c r="B13" i="9"/>
  <c r="B9" i="9"/>
  <c r="D5" i="9"/>
  <c r="B22" i="9"/>
  <c r="B19" i="9"/>
  <c r="D15" i="9"/>
  <c r="D12" i="9"/>
  <c r="D8" i="9"/>
  <c r="B5" i="9"/>
  <c r="D24" i="8"/>
  <c r="D20" i="8"/>
  <c r="D17" i="8"/>
  <c r="B15" i="8"/>
  <c r="D11" i="8"/>
  <c r="B7" i="8"/>
  <c r="D25" i="8"/>
  <c r="D22" i="8"/>
  <c r="D18" i="8"/>
  <c r="B14" i="8"/>
  <c r="D10" i="8"/>
  <c r="D7" i="8"/>
  <c r="B24" i="8"/>
  <c r="B21" i="8"/>
  <c r="B18" i="8"/>
  <c r="B12" i="8"/>
  <c r="D9" i="8"/>
  <c r="D6" i="8"/>
  <c r="D23" i="8"/>
  <c r="D19" i="8"/>
  <c r="B17" i="8"/>
  <c r="D13" i="8"/>
  <c r="B10" i="8"/>
  <c r="B6" i="8"/>
  <c r="B25" i="8"/>
  <c r="B20" i="8"/>
  <c r="B16" i="8"/>
  <c r="B13" i="8"/>
  <c r="B9" i="8"/>
  <c r="D5" i="8"/>
  <c r="B22" i="8"/>
  <c r="B19" i="8"/>
  <c r="D15" i="8"/>
  <c r="D12" i="8"/>
  <c r="D8" i="8"/>
  <c r="B5" i="8"/>
  <c r="B8" i="8"/>
  <c r="B11" i="8"/>
  <c r="D14" i="8"/>
  <c r="D16" i="8"/>
  <c r="D21" i="8"/>
  <c r="B23" i="8"/>
  <c r="D24" i="2"/>
  <c r="D20" i="2"/>
  <c r="D17" i="2"/>
  <c r="B15" i="2"/>
  <c r="D11" i="2"/>
  <c r="B7" i="2"/>
  <c r="D25" i="2"/>
  <c r="D22" i="2"/>
  <c r="D18" i="2"/>
  <c r="B14" i="2"/>
  <c r="D10" i="2"/>
  <c r="D7" i="2"/>
  <c r="B24" i="2"/>
  <c r="B21" i="2"/>
  <c r="B18" i="2"/>
  <c r="B12" i="2"/>
  <c r="D9" i="2"/>
  <c r="D6" i="2"/>
  <c r="D23" i="2"/>
  <c r="D19" i="2"/>
  <c r="B17" i="2"/>
  <c r="D13" i="2"/>
  <c r="B10" i="2"/>
  <c r="B6" i="2"/>
  <c r="B25" i="2"/>
  <c r="B20" i="2"/>
  <c r="B16" i="2"/>
  <c r="B13" i="2"/>
  <c r="B9" i="2"/>
  <c r="D5" i="2"/>
  <c r="B22" i="2"/>
  <c r="B19" i="2"/>
  <c r="D15" i="2"/>
  <c r="D12" i="2"/>
  <c r="D8" i="2"/>
  <c r="B5" i="2"/>
  <c r="F5" i="26" l="1"/>
  <c r="G5" i="26"/>
  <c r="F6" i="26"/>
  <c r="G6" i="26"/>
  <c r="F7" i="26"/>
  <c r="G7" i="26"/>
  <c r="F8" i="26"/>
  <c r="G8" i="26"/>
  <c r="F9" i="26"/>
  <c r="G9" i="26"/>
  <c r="F10" i="26"/>
  <c r="G10" i="26"/>
  <c r="F15" i="26"/>
  <c r="G15" i="26"/>
  <c r="F16" i="26"/>
  <c r="G16" i="26"/>
  <c r="F17" i="26"/>
  <c r="G17" i="26"/>
  <c r="F18" i="26"/>
  <c r="G18" i="26"/>
  <c r="F19" i="26"/>
  <c r="G19" i="26"/>
  <c r="F20" i="26"/>
  <c r="G20" i="26"/>
  <c r="F25" i="26"/>
  <c r="G25" i="26"/>
  <c r="F26" i="26"/>
  <c r="G26" i="26"/>
  <c r="F27" i="26"/>
  <c r="G27" i="26"/>
  <c r="F28" i="26"/>
  <c r="G28" i="26"/>
  <c r="F29" i="26"/>
  <c r="G29" i="26"/>
  <c r="F30" i="26"/>
  <c r="G30" i="26"/>
  <c r="B26" i="26"/>
  <c r="C26" i="26"/>
  <c r="B27" i="26"/>
  <c r="C27" i="26"/>
  <c r="B28" i="26"/>
  <c r="C28" i="26"/>
  <c r="B29" i="26"/>
  <c r="C29" i="26"/>
  <c r="B30" i="26"/>
  <c r="C30" i="26"/>
  <c r="C25" i="26"/>
  <c r="B25" i="26"/>
  <c r="B6" i="26"/>
  <c r="C6" i="26"/>
  <c r="B7" i="26"/>
  <c r="C7" i="26"/>
  <c r="B8" i="26"/>
  <c r="C8" i="26"/>
  <c r="B9" i="26"/>
  <c r="C9" i="26"/>
  <c r="B10" i="26"/>
  <c r="C10" i="26"/>
  <c r="C5" i="26"/>
  <c r="B5" i="26"/>
  <c r="B16" i="26"/>
  <c r="B17" i="26"/>
  <c r="B18" i="26"/>
  <c r="B19" i="26"/>
  <c r="B20" i="26"/>
  <c r="B15" i="26"/>
  <c r="C16" i="26"/>
  <c r="C17" i="26"/>
  <c r="C18" i="26"/>
  <c r="C19" i="26"/>
  <c r="C20" i="26"/>
  <c r="C15" i="26"/>
  <c r="B10" i="14" l="1"/>
  <c r="B9" i="14"/>
  <c r="B8" i="14"/>
  <c r="B7" i="14"/>
  <c r="B23" i="9"/>
  <c r="D21" i="9"/>
  <c r="D16" i="9"/>
  <c r="D14" i="9"/>
  <c r="B11" i="9"/>
  <c r="B8" i="9"/>
  <c r="U11" i="9"/>
  <c r="U10" i="9"/>
  <c r="U9" i="9"/>
  <c r="U8" i="9"/>
  <c r="N23" i="9" l="1"/>
  <c r="AA7" i="9" s="1"/>
  <c r="N21" i="9"/>
  <c r="Z11" i="9" s="1"/>
  <c r="N16" i="9"/>
  <c r="Y11" i="9" s="1"/>
  <c r="N14" i="9"/>
  <c r="X11" i="9" s="1"/>
  <c r="N11" i="9"/>
  <c r="W10" i="9" s="1"/>
  <c r="N8" i="9"/>
  <c r="W5" i="9" s="1"/>
  <c r="L23" i="9"/>
  <c r="AA11" i="9" s="1"/>
  <c r="L21" i="9"/>
  <c r="Z8" i="9" s="1"/>
  <c r="L16" i="9"/>
  <c r="Y6" i="9" s="1"/>
  <c r="L14" i="9"/>
  <c r="X9" i="9" s="1"/>
  <c r="L11" i="9"/>
  <c r="W11" i="9" s="1"/>
  <c r="L8" i="9"/>
  <c r="V11" i="9" s="1"/>
  <c r="U6" i="9"/>
  <c r="U7" i="9"/>
  <c r="U5" i="9"/>
  <c r="U6" i="8"/>
  <c r="U7" i="8"/>
  <c r="U8" i="8"/>
  <c r="U9" i="8"/>
  <c r="U10" i="8"/>
  <c r="U11" i="8"/>
  <c r="U5" i="8"/>
  <c r="U6" i="2"/>
  <c r="U7" i="2"/>
  <c r="U8" i="2"/>
  <c r="U9" i="2"/>
  <c r="U10" i="2"/>
  <c r="U11" i="2"/>
  <c r="U5" i="2"/>
  <c r="T17" i="24" l="1"/>
  <c r="T11" i="24"/>
  <c r="T15" i="24"/>
  <c r="T6" i="24"/>
  <c r="T9" i="24"/>
  <c r="T14" i="24"/>
  <c r="J8" i="16"/>
  <c r="R47" i="17"/>
  <c r="G11" i="7"/>
  <c r="C11" i="7"/>
  <c r="G11" i="6"/>
  <c r="C11" i="6"/>
  <c r="G11" i="1"/>
  <c r="C11" i="1"/>
  <c r="B5" i="14"/>
  <c r="B6" i="14"/>
  <c r="B4" i="14"/>
  <c r="L6" i="8"/>
  <c r="V7" i="8" s="1"/>
  <c r="N6" i="8"/>
  <c r="L7" i="8"/>
  <c r="V10" i="8" s="1"/>
  <c r="N7" i="8"/>
  <c r="V9" i="8" s="1"/>
  <c r="L8" i="8"/>
  <c r="V11" i="8" s="1"/>
  <c r="N8" i="8"/>
  <c r="W5" i="8" s="1"/>
  <c r="L9" i="8"/>
  <c r="W6" i="8" s="1"/>
  <c r="N9" i="8"/>
  <c r="W8" i="8" s="1"/>
  <c r="L10" i="8"/>
  <c r="W7" i="8" s="1"/>
  <c r="N10" i="8"/>
  <c r="L11" i="8"/>
  <c r="W11" i="8" s="1"/>
  <c r="N11" i="8"/>
  <c r="W10" i="8" s="1"/>
  <c r="L12" i="8"/>
  <c r="X8" i="8" s="1"/>
  <c r="N12" i="8"/>
  <c r="X5" i="8" s="1"/>
  <c r="L13" i="8"/>
  <c r="X6" i="8" s="1"/>
  <c r="N13" i="8"/>
  <c r="X7" i="8" s="1"/>
  <c r="L14" i="8"/>
  <c r="X9" i="8" s="1"/>
  <c r="N14" i="8"/>
  <c r="X11" i="8" s="1"/>
  <c r="L15" i="8"/>
  <c r="N15" i="8"/>
  <c r="Y5" i="8" s="1"/>
  <c r="L16" i="8"/>
  <c r="Y6" i="8" s="1"/>
  <c r="N16" i="8"/>
  <c r="Y11" i="8" s="1"/>
  <c r="L17" i="8"/>
  <c r="Y7" i="8" s="1"/>
  <c r="N17" i="8"/>
  <c r="Y10" i="8" s="1"/>
  <c r="L18" i="8"/>
  <c r="Y8" i="8" s="1"/>
  <c r="N18" i="8"/>
  <c r="Y9" i="8" s="1"/>
  <c r="L19" i="8"/>
  <c r="Z5" i="8" s="1"/>
  <c r="N19" i="8"/>
  <c r="Z7" i="8" s="1"/>
  <c r="L20" i="8"/>
  <c r="Z6" i="8" s="1"/>
  <c r="N20" i="8"/>
  <c r="Z10" i="8" s="1"/>
  <c r="L21" i="8"/>
  <c r="Z8" i="8" s="1"/>
  <c r="N21" i="8"/>
  <c r="Z11" i="8" s="1"/>
  <c r="L22" i="8"/>
  <c r="AA5" i="8" s="1"/>
  <c r="N22" i="8"/>
  <c r="Z9" i="8" s="1"/>
  <c r="L23" i="8"/>
  <c r="AA11" i="8" s="1"/>
  <c r="N23" i="8"/>
  <c r="AA7" i="8" s="1"/>
  <c r="L24" i="8"/>
  <c r="N24" i="8"/>
  <c r="AA10" i="8" s="1"/>
  <c r="L25" i="8"/>
  <c r="AA6" i="8" s="1"/>
  <c r="N25" i="8"/>
  <c r="AA9" i="8" s="1"/>
  <c r="N5" i="8"/>
  <c r="V6" i="8" s="1"/>
  <c r="L5" i="8"/>
  <c r="V5" i="8" s="1"/>
  <c r="L8" i="2"/>
  <c r="V11" i="2" s="1"/>
  <c r="N6" i="2"/>
  <c r="V8" i="2" s="1"/>
  <c r="N7" i="2"/>
  <c r="V9" i="2" s="1"/>
  <c r="N8" i="2"/>
  <c r="W5" i="2" s="1"/>
  <c r="N9" i="2"/>
  <c r="W8" i="2" s="1"/>
  <c r="N10" i="2"/>
  <c r="N11" i="2"/>
  <c r="W10" i="2" s="1"/>
  <c r="N12" i="2"/>
  <c r="X5" i="2" s="1"/>
  <c r="N13" i="2"/>
  <c r="X7" i="2" s="1"/>
  <c r="N14" i="2"/>
  <c r="X11" i="2" s="1"/>
  <c r="N15" i="2"/>
  <c r="Y5" i="2" s="1"/>
  <c r="N16" i="2"/>
  <c r="Y11" i="2" s="1"/>
  <c r="N17" i="2"/>
  <c r="Y10" i="2" s="1"/>
  <c r="N18" i="2"/>
  <c r="Y9" i="2" s="1"/>
  <c r="N19" i="2"/>
  <c r="Z7" i="2" s="1"/>
  <c r="N20" i="2"/>
  <c r="Z10" i="2" s="1"/>
  <c r="N21" i="2"/>
  <c r="Z11" i="2" s="1"/>
  <c r="N22" i="2"/>
  <c r="Z9" i="2" s="1"/>
  <c r="N23" i="2"/>
  <c r="AA7" i="2" s="1"/>
  <c r="N24" i="2"/>
  <c r="AA10" i="2" s="1"/>
  <c r="N25" i="2"/>
  <c r="AA9" i="2" s="1"/>
  <c r="N5" i="2"/>
  <c r="V6" i="2" s="1"/>
  <c r="L9" i="2"/>
  <c r="W6" i="2" s="1"/>
  <c r="L10" i="2"/>
  <c r="W7" i="2" s="1"/>
  <c r="L11" i="2"/>
  <c r="W11" i="2" s="1"/>
  <c r="L12" i="2"/>
  <c r="X8" i="2" s="1"/>
  <c r="L13" i="2"/>
  <c r="L14" i="2"/>
  <c r="X9" i="2"/>
  <c r="L15" i="2"/>
  <c r="L16" i="2"/>
  <c r="Y6" i="2" s="1"/>
  <c r="L17" i="2"/>
  <c r="Y7" i="2" s="1"/>
  <c r="L18" i="2"/>
  <c r="Y8" i="2" s="1"/>
  <c r="L19" i="2"/>
  <c r="Z5" i="2" s="1"/>
  <c r="L20" i="2"/>
  <c r="Z6" i="2" s="1"/>
  <c r="L21" i="2"/>
  <c r="Z8" i="2" s="1"/>
  <c r="L22" i="2"/>
  <c r="AA5" i="2" s="1"/>
  <c r="L23" i="2"/>
  <c r="AA11" i="2" s="1"/>
  <c r="L24" i="2"/>
  <c r="AA8" i="2" s="1"/>
  <c r="L25" i="2"/>
  <c r="AA6" i="2" s="1"/>
  <c r="L5" i="2"/>
  <c r="V5" i="2" s="1"/>
  <c r="L6" i="2"/>
  <c r="V7" i="2" s="1"/>
  <c r="L7" i="2"/>
  <c r="V10" i="2" s="1"/>
  <c r="T18" i="24"/>
  <c r="T19" i="24" s="1"/>
  <c r="R45" i="17"/>
  <c r="R43" i="17"/>
  <c r="Q47" i="17"/>
  <c r="Q45" i="17"/>
  <c r="Q43" i="17"/>
  <c r="R5" i="17"/>
  <c r="C3" i="17" s="1"/>
  <c r="R13" i="17"/>
  <c r="R11" i="17" s="1"/>
  <c r="D6" i="17"/>
  <c r="P49" i="17"/>
  <c r="A64" i="19"/>
  <c r="B10" i="10"/>
  <c r="B9" i="10"/>
  <c r="B8" i="10"/>
  <c r="B7" i="10"/>
  <c r="B6" i="10"/>
  <c r="B5" i="10"/>
  <c r="B4" i="10"/>
  <c r="B10" i="3"/>
  <c r="B9" i="3"/>
  <c r="B8" i="3"/>
  <c r="B7" i="3"/>
  <c r="B6" i="3"/>
  <c r="B5" i="3"/>
  <c r="F10" i="10"/>
  <c r="E10" i="10"/>
  <c r="F9" i="10"/>
  <c r="E9" i="10"/>
  <c r="F8" i="10"/>
  <c r="E8" i="10"/>
  <c r="F7" i="10"/>
  <c r="E7" i="10"/>
  <c r="F6" i="10"/>
  <c r="E6" i="10"/>
  <c r="F5" i="10"/>
  <c r="E5" i="10"/>
  <c r="F4" i="10"/>
  <c r="E4" i="10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B4" i="3"/>
  <c r="P22" i="12"/>
  <c r="N22" i="12"/>
  <c r="P21" i="12"/>
  <c r="N21" i="12"/>
  <c r="P20" i="12"/>
  <c r="N20" i="12"/>
  <c r="P19" i="12"/>
  <c r="N19" i="12"/>
  <c r="P18" i="12"/>
  <c r="N18" i="12"/>
  <c r="P17" i="12"/>
  <c r="N17" i="12"/>
  <c r="N16" i="12"/>
  <c r="P15" i="12"/>
  <c r="N15" i="12"/>
  <c r="P14" i="12"/>
  <c r="N14" i="12"/>
  <c r="N13" i="12"/>
  <c r="P12" i="12"/>
  <c r="N12" i="12"/>
  <c r="P11" i="12"/>
  <c r="N11" i="12"/>
  <c r="P10" i="12"/>
  <c r="N10" i="12"/>
  <c r="N9" i="12"/>
  <c r="P8" i="12"/>
  <c r="N8" i="12"/>
  <c r="P7" i="12"/>
  <c r="N7" i="12"/>
  <c r="P6" i="12"/>
  <c r="N6" i="12"/>
  <c r="P5" i="12"/>
  <c r="N5" i="12"/>
  <c r="J10" i="12"/>
  <c r="P3" i="12"/>
  <c r="N3" i="12"/>
  <c r="P2" i="12"/>
  <c r="N2" i="12"/>
  <c r="P5" i="4"/>
  <c r="B8" i="2"/>
  <c r="N5" i="4" s="1"/>
  <c r="P4" i="4"/>
  <c r="N4" i="4"/>
  <c r="P3" i="4"/>
  <c r="N3" i="4"/>
  <c r="P2" i="4"/>
  <c r="N2" i="4"/>
  <c r="P22" i="4"/>
  <c r="N22" i="4"/>
  <c r="P21" i="4"/>
  <c r="N21" i="4"/>
  <c r="P20" i="4"/>
  <c r="B23" i="2"/>
  <c r="N20" i="4" s="1"/>
  <c r="P19" i="4"/>
  <c r="N19" i="4"/>
  <c r="D21" i="2"/>
  <c r="P18" i="4" s="1"/>
  <c r="N18" i="4"/>
  <c r="P17" i="4"/>
  <c r="N17" i="4"/>
  <c r="P16" i="4"/>
  <c r="N16" i="4"/>
  <c r="P15" i="4"/>
  <c r="N15" i="4"/>
  <c r="P14" i="4"/>
  <c r="N14" i="4"/>
  <c r="D16" i="2"/>
  <c r="P13" i="4" s="1"/>
  <c r="N13" i="4"/>
  <c r="P12" i="4"/>
  <c r="N12" i="4"/>
  <c r="D14" i="2"/>
  <c r="P11" i="4" s="1"/>
  <c r="N11" i="4"/>
  <c r="P10" i="4"/>
  <c r="N10" i="4"/>
  <c r="P9" i="4"/>
  <c r="N9" i="4"/>
  <c r="P8" i="4"/>
  <c r="B11" i="2"/>
  <c r="N8" i="4" s="1"/>
  <c r="P7" i="4"/>
  <c r="N7" i="4"/>
  <c r="P6" i="4"/>
  <c r="N6" i="4"/>
  <c r="F10" i="14"/>
  <c r="E10" i="14"/>
  <c r="F9" i="14"/>
  <c r="E9" i="14"/>
  <c r="F8" i="14"/>
  <c r="E8" i="14"/>
  <c r="F7" i="14"/>
  <c r="E7" i="14"/>
  <c r="F6" i="14"/>
  <c r="E6" i="14"/>
  <c r="F5" i="14"/>
  <c r="E5" i="14"/>
  <c r="F4" i="14"/>
  <c r="E4" i="14"/>
  <c r="L20" i="9"/>
  <c r="Z6" i="9" s="1"/>
  <c r="N20" i="9"/>
  <c r="Z10" i="9" s="1"/>
  <c r="L22" i="9"/>
  <c r="AA5" i="9" s="1"/>
  <c r="N22" i="9"/>
  <c r="Z9" i="9" s="1"/>
  <c r="L24" i="9"/>
  <c r="N24" i="9"/>
  <c r="AA10" i="9" s="1"/>
  <c r="L25" i="9"/>
  <c r="AA6" i="9" s="1"/>
  <c r="N25" i="9"/>
  <c r="AA9" i="9" s="1"/>
  <c r="P22" i="13"/>
  <c r="N22" i="13"/>
  <c r="P21" i="13"/>
  <c r="N21" i="13"/>
  <c r="P20" i="13"/>
  <c r="N20" i="13"/>
  <c r="P19" i="13"/>
  <c r="N19" i="13"/>
  <c r="P18" i="13"/>
  <c r="N18" i="13"/>
  <c r="P17" i="13"/>
  <c r="N17" i="13"/>
  <c r="N16" i="13"/>
  <c r="P15" i="13"/>
  <c r="N15" i="13"/>
  <c r="N14" i="13"/>
  <c r="N13" i="13"/>
  <c r="P12" i="13"/>
  <c r="N12" i="13"/>
  <c r="P11" i="13"/>
  <c r="N11" i="13"/>
  <c r="P10" i="13"/>
  <c r="N10" i="13"/>
  <c r="P9" i="13"/>
  <c r="N9" i="13"/>
  <c r="N8" i="13"/>
  <c r="N7" i="13"/>
  <c r="P6" i="13"/>
  <c r="N6" i="13"/>
  <c r="P5" i="13"/>
  <c r="P2" i="13"/>
  <c r="P13" i="13"/>
  <c r="N5" i="13"/>
  <c r="P4" i="13"/>
  <c r="N4" i="13"/>
  <c r="N3" i="13"/>
  <c r="P3" i="13"/>
  <c r="J6" i="4"/>
  <c r="J4" i="4"/>
  <c r="J5" i="4" s="1"/>
  <c r="H7" i="12"/>
  <c r="H6" i="12"/>
  <c r="H5" i="12"/>
  <c r="H4" i="12"/>
  <c r="J4" i="12" s="1"/>
  <c r="J5" i="12" s="1"/>
  <c r="H7" i="13"/>
  <c r="H6" i="13"/>
  <c r="H5" i="13"/>
  <c r="H4" i="13"/>
  <c r="J4" i="13" s="1"/>
  <c r="J5" i="13" s="1"/>
  <c r="J14" i="16"/>
  <c r="J11" i="16"/>
  <c r="K10" i="4"/>
  <c r="J10" i="4"/>
  <c r="M23" i="16"/>
  <c r="C16" i="18" s="1"/>
  <c r="L23" i="16"/>
  <c r="C8" i="18" s="1"/>
  <c r="P9" i="18"/>
  <c r="P8" i="18"/>
  <c r="P7" i="18"/>
  <c r="O9" i="18"/>
  <c r="O8" i="18"/>
  <c r="O7" i="18"/>
  <c r="K7" i="18"/>
  <c r="K8" i="18" s="1"/>
  <c r="B1" i="18"/>
  <c r="P17" i="18"/>
  <c r="O17" i="18"/>
  <c r="P16" i="18"/>
  <c r="O16" i="18"/>
  <c r="P15" i="18"/>
  <c r="O15" i="18"/>
  <c r="P16" i="13"/>
  <c r="P14" i="13"/>
  <c r="P8" i="13"/>
  <c r="P7" i="13"/>
  <c r="N2" i="13"/>
  <c r="P16" i="12"/>
  <c r="P13" i="12"/>
  <c r="P9" i="12"/>
  <c r="I7" i="24"/>
  <c r="F2" i="8" s="1"/>
  <c r="P8" i="24"/>
  <c r="V19" i="24" s="1"/>
  <c r="D6" i="24"/>
  <c r="C33" i="18" s="1"/>
  <c r="B2" i="19"/>
  <c r="M8" i="18"/>
  <c r="M9" i="18" s="1"/>
  <c r="L7" i="18"/>
  <c r="L9" i="18" s="1"/>
  <c r="M16" i="18"/>
  <c r="M17" i="18" s="1"/>
  <c r="L15" i="18"/>
  <c r="K15" i="18"/>
  <c r="K16" i="18" s="1"/>
  <c r="AB49" i="23"/>
  <c r="AA49" i="23"/>
  <c r="AB46" i="23"/>
  <c r="AA46" i="23"/>
  <c r="AB43" i="23"/>
  <c r="AA43" i="23"/>
  <c r="AB40" i="23"/>
  <c r="AA40" i="23"/>
  <c r="AB37" i="23"/>
  <c r="AA37" i="23"/>
  <c r="AB34" i="23"/>
  <c r="M34" i="23" s="1"/>
  <c r="AA34" i="23"/>
  <c r="I34" i="23" s="1"/>
  <c r="AB31" i="23"/>
  <c r="M31" i="23" s="1"/>
  <c r="AA31" i="23"/>
  <c r="I31" i="23" s="1"/>
  <c r="AB28" i="23"/>
  <c r="M28" i="23" s="1"/>
  <c r="AA28" i="23"/>
  <c r="I28" i="23" s="1"/>
  <c r="AB25" i="23"/>
  <c r="M25" i="23" s="1"/>
  <c r="AA25" i="23"/>
  <c r="I25" i="23" s="1"/>
  <c r="AB22" i="23"/>
  <c r="M22" i="23" s="1"/>
  <c r="AA22" i="23"/>
  <c r="I22" i="23" s="1"/>
  <c r="AB19" i="23"/>
  <c r="M19" i="23" s="1"/>
  <c r="AA19" i="23"/>
  <c r="I19" i="23" s="1"/>
  <c r="AB16" i="23"/>
  <c r="M16" i="23" s="1"/>
  <c r="AA16" i="23"/>
  <c r="I16" i="23" s="1"/>
  <c r="AB13" i="23"/>
  <c r="M13" i="23" s="1"/>
  <c r="AA13" i="23"/>
  <c r="I13" i="23" s="1"/>
  <c r="AB10" i="23"/>
  <c r="M10" i="23" s="1"/>
  <c r="AA10" i="23"/>
  <c r="I10" i="23" s="1"/>
  <c r="AB7" i="23"/>
  <c r="M7" i="23" s="1"/>
  <c r="AA7" i="23"/>
  <c r="I7" i="23" s="1"/>
  <c r="S53" i="23"/>
  <c r="T53" i="23"/>
  <c r="S55" i="23"/>
  <c r="T55" i="23"/>
  <c r="S57" i="23"/>
  <c r="T57" i="23"/>
  <c r="V49" i="23"/>
  <c r="G49" i="23"/>
  <c r="U49" i="23"/>
  <c r="M49" i="23"/>
  <c r="I49" i="23"/>
  <c r="C49" i="23"/>
  <c r="V46" i="23"/>
  <c r="U46" i="23"/>
  <c r="M46" i="23"/>
  <c r="I46" i="23"/>
  <c r="G46" i="23"/>
  <c r="C46" i="23"/>
  <c r="V43" i="23"/>
  <c r="U43" i="23"/>
  <c r="M43" i="23"/>
  <c r="I43" i="23"/>
  <c r="G43" i="23"/>
  <c r="C43" i="23"/>
  <c r="V40" i="23"/>
  <c r="G40" i="23"/>
  <c r="U40" i="23"/>
  <c r="M40" i="23"/>
  <c r="I40" i="23"/>
  <c r="C40" i="23"/>
  <c r="V37" i="23"/>
  <c r="G37" i="23"/>
  <c r="F43" i="23" s="1"/>
  <c r="U37" i="23"/>
  <c r="M37" i="23"/>
  <c r="I37" i="23"/>
  <c r="J49" i="23" s="1"/>
  <c r="C37" i="23"/>
  <c r="D43" i="23" s="1"/>
  <c r="Y34" i="23"/>
  <c r="G34" i="23" s="1"/>
  <c r="X34" i="23"/>
  <c r="C34" i="23" s="1"/>
  <c r="V34" i="23"/>
  <c r="U34" i="23"/>
  <c r="Y31" i="23"/>
  <c r="G31" i="23" s="1"/>
  <c r="X31" i="23"/>
  <c r="C31" i="23" s="1"/>
  <c r="V31" i="23"/>
  <c r="U31" i="23"/>
  <c r="Y28" i="23"/>
  <c r="G28" i="23" s="1"/>
  <c r="X28" i="23"/>
  <c r="C28" i="23" s="1"/>
  <c r="V28" i="23"/>
  <c r="U28" i="23"/>
  <c r="Y25" i="23"/>
  <c r="G25" i="23"/>
  <c r="X25" i="23"/>
  <c r="C25" i="23" s="1"/>
  <c r="V25" i="23"/>
  <c r="U25" i="23"/>
  <c r="Y22" i="23"/>
  <c r="G22" i="23" s="1"/>
  <c r="X22" i="23"/>
  <c r="C22" i="23" s="1"/>
  <c r="V22" i="23"/>
  <c r="U22" i="23"/>
  <c r="Y19" i="23"/>
  <c r="G19" i="23" s="1"/>
  <c r="X19" i="23"/>
  <c r="C19" i="23" s="1"/>
  <c r="V19" i="23"/>
  <c r="U19" i="23"/>
  <c r="R19" i="23"/>
  <c r="C3" i="23" s="1"/>
  <c r="Y16" i="23"/>
  <c r="G16" i="23" s="1"/>
  <c r="X16" i="23"/>
  <c r="C16" i="23" s="1"/>
  <c r="V16" i="23"/>
  <c r="U16" i="23"/>
  <c r="Y13" i="23"/>
  <c r="G13" i="23" s="1"/>
  <c r="X13" i="23"/>
  <c r="C13" i="23" s="1"/>
  <c r="V13" i="23"/>
  <c r="U13" i="23"/>
  <c r="R13" i="23"/>
  <c r="R25" i="23" s="1"/>
  <c r="Y10" i="23"/>
  <c r="G10" i="23" s="1"/>
  <c r="X10" i="23"/>
  <c r="C10" i="23" s="1"/>
  <c r="V10" i="23"/>
  <c r="U10" i="23"/>
  <c r="Y7" i="23"/>
  <c r="G7" i="23" s="1"/>
  <c r="X7" i="23"/>
  <c r="C7" i="23" s="1"/>
  <c r="V7" i="23"/>
  <c r="U7" i="23"/>
  <c r="D6" i="23"/>
  <c r="E8" i="16"/>
  <c r="E6" i="19"/>
  <c r="AB7" i="21"/>
  <c r="AB49" i="21"/>
  <c r="AB46" i="21"/>
  <c r="AB43" i="21"/>
  <c r="AB40" i="21"/>
  <c r="AB37" i="21"/>
  <c r="AB34" i="21"/>
  <c r="AB31" i="21"/>
  <c r="AB28" i="21"/>
  <c r="AB25" i="21"/>
  <c r="AB22" i="21"/>
  <c r="AB19" i="21"/>
  <c r="AB16" i="21"/>
  <c r="AB13" i="21"/>
  <c r="AB10" i="21"/>
  <c r="X25" i="21"/>
  <c r="X23" i="21"/>
  <c r="X21" i="21"/>
  <c r="X19" i="21"/>
  <c r="X17" i="21"/>
  <c r="X15" i="21"/>
  <c r="X13" i="21"/>
  <c r="X11" i="21"/>
  <c r="X9" i="21"/>
  <c r="X7" i="21"/>
  <c r="W25" i="21"/>
  <c r="W23" i="21"/>
  <c r="W21" i="21"/>
  <c r="W19" i="21"/>
  <c r="W17" i="21"/>
  <c r="W15" i="21"/>
  <c r="W13" i="21"/>
  <c r="W11" i="21"/>
  <c r="W9" i="21"/>
  <c r="W7" i="21"/>
  <c r="U35" i="21"/>
  <c r="F35" i="21" s="1"/>
  <c r="U33" i="21"/>
  <c r="F33" i="21" s="1"/>
  <c r="U31" i="21"/>
  <c r="F31" i="21" s="1"/>
  <c r="U29" i="21"/>
  <c r="F29" i="21" s="1"/>
  <c r="U27" i="21"/>
  <c r="F27" i="21" s="1"/>
  <c r="U25" i="21"/>
  <c r="F25" i="21" s="1"/>
  <c r="U23" i="21"/>
  <c r="F23" i="21" s="1"/>
  <c r="U21" i="21"/>
  <c r="F21" i="21" s="1"/>
  <c r="U19" i="21"/>
  <c r="F19" i="21" s="1"/>
  <c r="U17" i="21"/>
  <c r="F17" i="21" s="1"/>
  <c r="U15" i="21"/>
  <c r="F15" i="21" s="1"/>
  <c r="U13" i="21"/>
  <c r="F13" i="21" s="1"/>
  <c r="U11" i="21"/>
  <c r="F11" i="21" s="1"/>
  <c r="U9" i="21"/>
  <c r="F9" i="21" s="1"/>
  <c r="U7" i="21"/>
  <c r="F7" i="21" s="1"/>
  <c r="T35" i="21"/>
  <c r="B35" i="21" s="1"/>
  <c r="T33" i="21"/>
  <c r="B33" i="21" s="1"/>
  <c r="T31" i="21"/>
  <c r="B31" i="21" s="1"/>
  <c r="T29" i="21"/>
  <c r="B29" i="21" s="1"/>
  <c r="T27" i="21"/>
  <c r="B27" i="21" s="1"/>
  <c r="T25" i="21"/>
  <c r="B25" i="21" s="1"/>
  <c r="T23" i="21"/>
  <c r="B23" i="21" s="1"/>
  <c r="T21" i="21"/>
  <c r="B21" i="21" s="1"/>
  <c r="T19" i="21"/>
  <c r="B19" i="21" s="1"/>
  <c r="T17" i="21"/>
  <c r="B17" i="21" s="1"/>
  <c r="T15" i="21"/>
  <c r="B15" i="21" s="1"/>
  <c r="T13" i="21"/>
  <c r="B13" i="21" s="1"/>
  <c r="T11" i="21"/>
  <c r="B11" i="21" s="1"/>
  <c r="T9" i="21"/>
  <c r="B9" i="21" s="1"/>
  <c r="T7" i="21"/>
  <c r="B7" i="21" s="1"/>
  <c r="X25" i="19"/>
  <c r="W25" i="19"/>
  <c r="X23" i="19"/>
  <c r="W23" i="19"/>
  <c r="X21" i="19"/>
  <c r="W21" i="19"/>
  <c r="X19" i="19"/>
  <c r="W19" i="19"/>
  <c r="X17" i="19"/>
  <c r="W17" i="19"/>
  <c r="X15" i="19"/>
  <c r="W15" i="19"/>
  <c r="X13" i="19"/>
  <c r="W13" i="19"/>
  <c r="X11" i="19"/>
  <c r="W11" i="19"/>
  <c r="X9" i="19"/>
  <c r="W9" i="19"/>
  <c r="X7" i="19"/>
  <c r="W7" i="19"/>
  <c r="F25" i="22"/>
  <c r="F23" i="22"/>
  <c r="F21" i="22"/>
  <c r="F19" i="22"/>
  <c r="F17" i="22"/>
  <c r="F15" i="22"/>
  <c r="F13" i="22"/>
  <c r="F11" i="22"/>
  <c r="F9" i="22"/>
  <c r="F7" i="22"/>
  <c r="B25" i="22"/>
  <c r="B23" i="22"/>
  <c r="B21" i="22"/>
  <c r="B19" i="22"/>
  <c r="B17" i="22"/>
  <c r="B15" i="22"/>
  <c r="B13" i="22"/>
  <c r="B11" i="22"/>
  <c r="B9" i="22"/>
  <c r="B7" i="22"/>
  <c r="B48" i="22"/>
  <c r="B46" i="22"/>
  <c r="B44" i="22"/>
  <c r="B42" i="22"/>
  <c r="B40" i="22"/>
  <c r="B38" i="22"/>
  <c r="F35" i="22"/>
  <c r="B35" i="22"/>
  <c r="F33" i="22"/>
  <c r="B33" i="22"/>
  <c r="F31" i="22"/>
  <c r="B31" i="22"/>
  <c r="F29" i="22"/>
  <c r="B29" i="22"/>
  <c r="F27" i="22"/>
  <c r="B27" i="22"/>
  <c r="R15" i="22"/>
  <c r="B3" i="22" s="1"/>
  <c r="R11" i="22"/>
  <c r="R13" i="22" s="1"/>
  <c r="H25" i="21"/>
  <c r="L23" i="21"/>
  <c r="L21" i="21"/>
  <c r="H21" i="21"/>
  <c r="L19" i="21"/>
  <c r="L17" i="21"/>
  <c r="H17" i="21"/>
  <c r="L15" i="21"/>
  <c r="H13" i="21"/>
  <c r="L11" i="21"/>
  <c r="L9" i="21"/>
  <c r="L25" i="21"/>
  <c r="H23" i="21"/>
  <c r="H19" i="21"/>
  <c r="Q15" i="21"/>
  <c r="B3" i="21" s="1"/>
  <c r="H15" i="21"/>
  <c r="L13" i="21"/>
  <c r="Q11" i="21"/>
  <c r="H11" i="21"/>
  <c r="H9" i="21"/>
  <c r="L7" i="21"/>
  <c r="H7" i="21"/>
  <c r="A62" i="19"/>
  <c r="A60" i="19"/>
  <c r="A58" i="19"/>
  <c r="A56" i="19"/>
  <c r="A54" i="19"/>
  <c r="A52" i="19"/>
  <c r="R15" i="19"/>
  <c r="B3" i="19" s="1"/>
  <c r="R11" i="19"/>
  <c r="R13" i="19" s="1"/>
  <c r="L5" i="9"/>
  <c r="V5" i="9" s="1"/>
  <c r="E14" i="16"/>
  <c r="C14" i="16"/>
  <c r="E11" i="16"/>
  <c r="C11" i="16"/>
  <c r="C8" i="16"/>
  <c r="N19" i="9"/>
  <c r="Z7" i="9" s="1"/>
  <c r="L19" i="9"/>
  <c r="Z5" i="9" s="1"/>
  <c r="N18" i="9"/>
  <c r="Y9" i="9" s="1"/>
  <c r="L18" i="9"/>
  <c r="Y8" i="9" s="1"/>
  <c r="N17" i="9"/>
  <c r="Y10" i="9" s="1"/>
  <c r="L17" i="9"/>
  <c r="Y7" i="9" s="1"/>
  <c r="N15" i="9"/>
  <c r="Y5" i="9" s="1"/>
  <c r="L15" i="9"/>
  <c r="X10" i="9" s="1"/>
  <c r="N13" i="9"/>
  <c r="X7" i="9" s="1"/>
  <c r="L13" i="9"/>
  <c r="X6" i="9" s="1"/>
  <c r="N12" i="9"/>
  <c r="X5" i="9" s="1"/>
  <c r="L12" i="9"/>
  <c r="X8" i="9" s="1"/>
  <c r="N10" i="9"/>
  <c r="W9" i="9" s="1"/>
  <c r="L10" i="9"/>
  <c r="W7" i="9" s="1"/>
  <c r="N9" i="9"/>
  <c r="W8" i="9" s="1"/>
  <c r="L9" i="9"/>
  <c r="W6" i="9" s="1"/>
  <c r="N7" i="9"/>
  <c r="V9" i="9" s="1"/>
  <c r="L7" i="9"/>
  <c r="V10" i="9" s="1"/>
  <c r="N6" i="9"/>
  <c r="V8" i="9" s="1"/>
  <c r="L6" i="9"/>
  <c r="V7" i="9" s="1"/>
  <c r="N5" i="9"/>
  <c r="V6" i="9" s="1"/>
  <c r="Q19" i="21"/>
  <c r="J41" i="23"/>
  <c r="J47" i="23"/>
  <c r="L41" i="23"/>
  <c r="F37" i="23"/>
  <c r="L44" i="23"/>
  <c r="L50" i="23"/>
  <c r="J37" i="23"/>
  <c r="J40" i="23"/>
  <c r="L40" i="23"/>
  <c r="L46" i="23"/>
  <c r="F46" i="23"/>
  <c r="L49" i="23"/>
  <c r="J46" i="23"/>
  <c r="D49" i="23"/>
  <c r="D40" i="23"/>
  <c r="J43" i="23"/>
  <c r="J38" i="23"/>
  <c r="J50" i="23"/>
  <c r="J44" i="23"/>
  <c r="J10" i="13"/>
  <c r="C10" i="14"/>
  <c r="V18" i="24"/>
  <c r="V17" i="24"/>
  <c r="A7" i="17"/>
  <c r="A9" i="17" s="1"/>
  <c r="A11" i="17" s="1"/>
  <c r="A13" i="17" s="1"/>
  <c r="A15" i="17" s="1"/>
  <c r="A17" i="17" s="1"/>
  <c r="A19" i="17" s="1"/>
  <c r="A21" i="17" s="1"/>
  <c r="A23" i="17" s="1"/>
  <c r="A25" i="17" s="1"/>
  <c r="A27" i="17" s="1"/>
  <c r="A29" i="17" s="1"/>
  <c r="A31" i="17" s="1"/>
  <c r="A33" i="17" s="1"/>
  <c r="A35" i="17" s="1"/>
  <c r="A37" i="17" s="1"/>
  <c r="A43" i="17" s="1"/>
  <c r="K10" i="13"/>
  <c r="C2" i="16"/>
  <c r="N7" i="18"/>
  <c r="AC11" i="9"/>
  <c r="AB11" i="9"/>
  <c r="AD11" i="9"/>
  <c r="T1" i="17"/>
  <c r="C25" i="22"/>
  <c r="C40" i="22"/>
  <c r="E31" i="22"/>
  <c r="E25" i="22"/>
  <c r="C9" i="22"/>
  <c r="E19" i="22"/>
  <c r="C13" i="22"/>
  <c r="C29" i="22"/>
  <c r="C7" i="22"/>
  <c r="E27" i="22"/>
  <c r="E33" i="22"/>
  <c r="B56" i="19"/>
  <c r="I33" i="21"/>
  <c r="C38" i="22"/>
  <c r="C21" i="22"/>
  <c r="C11" i="22"/>
  <c r="E21" i="22"/>
  <c r="I21" i="21"/>
  <c r="C17" i="22"/>
  <c r="C31" i="22"/>
  <c r="K13" i="21"/>
  <c r="C19" i="22"/>
  <c r="B60" i="19"/>
  <c r="C27" i="22"/>
  <c r="B64" i="19"/>
  <c r="E23" i="22"/>
  <c r="B52" i="19"/>
  <c r="C46" i="22"/>
  <c r="B54" i="19"/>
  <c r="C33" i="22"/>
  <c r="E17" i="22"/>
  <c r="C48" i="22"/>
  <c r="T1" i="19"/>
  <c r="E9" i="22"/>
  <c r="E35" i="22"/>
  <c r="C23" i="22"/>
  <c r="C35" i="22"/>
  <c r="C44" i="22"/>
  <c r="E29" i="22"/>
  <c r="K29" i="21"/>
  <c r="I7" i="21"/>
  <c r="I25" i="21"/>
  <c r="C42" i="22"/>
  <c r="E13" i="22"/>
  <c r="E11" i="22"/>
  <c r="E15" i="22"/>
  <c r="B58" i="19"/>
  <c r="S31" i="23" l="1"/>
  <c r="F40" i="23"/>
  <c r="S25" i="23"/>
  <c r="R16" i="23"/>
  <c r="F49" i="23"/>
  <c r="D37" i="23"/>
  <c r="Q17" i="18"/>
  <c r="C2" i="17"/>
  <c r="Q7" i="18"/>
  <c r="R9" i="18"/>
  <c r="I43" i="17"/>
  <c r="I19" i="17"/>
  <c r="I31" i="17"/>
  <c r="I13" i="17"/>
  <c r="I25" i="17"/>
  <c r="I7" i="17"/>
  <c r="I37" i="17"/>
  <c r="D46" i="23"/>
  <c r="R31" i="23"/>
  <c r="B2" i="13"/>
  <c r="R28" i="23"/>
  <c r="S28" i="23"/>
  <c r="B2" i="3"/>
  <c r="B2" i="10"/>
  <c r="B2" i="4"/>
  <c r="F2" i="2"/>
  <c r="B2" i="14"/>
  <c r="C5" i="16"/>
  <c r="F2" i="9"/>
  <c r="R8" i="18"/>
  <c r="Q8" i="18"/>
  <c r="B2" i="12"/>
  <c r="W18" i="24"/>
  <c r="V14" i="24" s="1"/>
  <c r="W14" i="24" s="1"/>
  <c r="V9" i="24" s="1"/>
  <c r="W9" i="24" s="1"/>
  <c r="V6" i="24" s="1"/>
  <c r="W6" i="24" s="1"/>
  <c r="V3" i="24" s="1"/>
  <c r="W3" i="24" s="1"/>
  <c r="R17" i="18"/>
  <c r="Q21" i="21"/>
  <c r="Q13" i="21"/>
  <c r="L38" i="23"/>
  <c r="L47" i="23"/>
  <c r="L37" i="23"/>
  <c r="L43" i="23"/>
  <c r="K10" i="12"/>
  <c r="J11" i="12" s="1"/>
  <c r="W19" i="24"/>
  <c r="V15" i="24" s="1"/>
  <c r="W15" i="24" s="1"/>
  <c r="V11" i="24" s="1"/>
  <c r="W11" i="24" s="1"/>
  <c r="V7" i="24" s="1"/>
  <c r="W7" i="24" s="1"/>
  <c r="V4" i="24" s="1"/>
  <c r="W4" i="24" s="1"/>
  <c r="W17" i="24"/>
  <c r="X14" i="24" s="1"/>
  <c r="Y14" i="24" s="1"/>
  <c r="N16" i="18"/>
  <c r="N15" i="18"/>
  <c r="Q16" i="18"/>
  <c r="C23" i="16"/>
  <c r="B23" i="16" s="1"/>
  <c r="AD6" i="9"/>
  <c r="D10" i="14"/>
  <c r="P4" i="12"/>
  <c r="N4" i="12"/>
  <c r="C25" i="16"/>
  <c r="B25" i="16" s="1"/>
  <c r="C21" i="16"/>
  <c r="B21" i="16" s="1"/>
  <c r="R16" i="18"/>
  <c r="Q9" i="18"/>
  <c r="N9" i="18"/>
  <c r="N8" i="18"/>
  <c r="Q15" i="18"/>
  <c r="L17" i="18"/>
  <c r="N17" i="18" s="1"/>
  <c r="R15" i="18"/>
  <c r="R7" i="18"/>
  <c r="J6" i="12"/>
  <c r="J6" i="13"/>
  <c r="D4" i="10"/>
  <c r="D8" i="3"/>
  <c r="AD10" i="9"/>
  <c r="D5" i="14"/>
  <c r="D4" i="3"/>
  <c r="C4" i="14"/>
  <c r="AD9" i="9"/>
  <c r="AA8" i="9"/>
  <c r="AD8" i="9" s="1"/>
  <c r="D6" i="14"/>
  <c r="AD7" i="9"/>
  <c r="D9" i="14"/>
  <c r="C9" i="14"/>
  <c r="AC6" i="9"/>
  <c r="AC10" i="9"/>
  <c r="D7" i="14"/>
  <c r="C5" i="10"/>
  <c r="AA8" i="8"/>
  <c r="D5" i="3"/>
  <c r="D6" i="3"/>
  <c r="C7" i="14"/>
  <c r="D4" i="14"/>
  <c r="AB10" i="9"/>
  <c r="C6" i="14"/>
  <c r="AB6" i="9"/>
  <c r="C5" i="14"/>
  <c r="C8" i="14"/>
  <c r="C9" i="3"/>
  <c r="C5" i="3"/>
  <c r="C8" i="3"/>
  <c r="X10" i="2"/>
  <c r="AB10" i="2" s="1"/>
  <c r="X6" i="2"/>
  <c r="AB6" i="2" s="1"/>
  <c r="W9" i="2"/>
  <c r="AC9" i="2" s="1"/>
  <c r="C4" i="3"/>
  <c r="D7" i="3"/>
  <c r="D9" i="3"/>
  <c r="D7" i="10"/>
  <c r="C8" i="10"/>
  <c r="C6" i="10"/>
  <c r="D9" i="10"/>
  <c r="C9" i="10"/>
  <c r="X10" i="8"/>
  <c r="AB10" i="8" s="1"/>
  <c r="D5" i="10"/>
  <c r="C7" i="10"/>
  <c r="W9" i="8"/>
  <c r="AD9" i="8" s="1"/>
  <c r="D8" i="10"/>
  <c r="V8" i="8"/>
  <c r="D8" i="14"/>
  <c r="J11" i="4"/>
  <c r="AC7" i="8"/>
  <c r="AD7" i="8"/>
  <c r="AB7" i="8"/>
  <c r="D6" i="10"/>
  <c r="AD6" i="8"/>
  <c r="AC6" i="8"/>
  <c r="AB6" i="8"/>
  <c r="C10" i="10"/>
  <c r="D10" i="10"/>
  <c r="AC11" i="8"/>
  <c r="AB11" i="8"/>
  <c r="AB5" i="8"/>
  <c r="AC5" i="8"/>
  <c r="AD5" i="8"/>
  <c r="AD11" i="8"/>
  <c r="C4" i="10"/>
  <c r="AC7" i="2"/>
  <c r="AB7" i="2"/>
  <c r="AD7" i="2"/>
  <c r="C6" i="3"/>
  <c r="D10" i="3"/>
  <c r="AC8" i="2"/>
  <c r="AD8" i="2"/>
  <c r="AB8" i="2"/>
  <c r="C7" i="3"/>
  <c r="AD10" i="2"/>
  <c r="AC11" i="2"/>
  <c r="AD11" i="2"/>
  <c r="AB11" i="2"/>
  <c r="AC5" i="2"/>
  <c r="AD5" i="2"/>
  <c r="AB5" i="2"/>
  <c r="C10" i="3"/>
  <c r="AC7" i="9"/>
  <c r="AB7" i="9"/>
  <c r="AB9" i="9"/>
  <c r="AC9" i="9"/>
  <c r="J11" i="13"/>
  <c r="AE11" i="9"/>
  <c r="U1" i="17"/>
  <c r="S43" i="19"/>
  <c r="A2" i="19"/>
  <c r="S41" i="19"/>
  <c r="T2" i="19"/>
  <c r="S47" i="19"/>
  <c r="S39" i="19"/>
  <c r="S45" i="19"/>
  <c r="S37" i="19"/>
  <c r="K35" i="21"/>
  <c r="J22" i="23"/>
  <c r="I29" i="21"/>
  <c r="J23" i="23"/>
  <c r="J25" i="23"/>
  <c r="I9" i="21"/>
  <c r="L29" i="23"/>
  <c r="J28" i="23"/>
  <c r="L19" i="23"/>
  <c r="K7" i="21"/>
  <c r="K15" i="21"/>
  <c r="E25" i="21"/>
  <c r="L32" i="23"/>
  <c r="L7" i="23"/>
  <c r="L31" i="23"/>
  <c r="K9" i="21"/>
  <c r="F13" i="23"/>
  <c r="D19" i="23"/>
  <c r="K33" i="21"/>
  <c r="J20" i="23"/>
  <c r="K23" i="21"/>
  <c r="B62" i="19"/>
  <c r="I35" i="21"/>
  <c r="L34" i="23"/>
  <c r="J19" i="23"/>
  <c r="J16" i="23"/>
  <c r="I15" i="21"/>
  <c r="L22" i="23"/>
  <c r="I27" i="21"/>
  <c r="L35" i="23"/>
  <c r="I13" i="21"/>
  <c r="L10" i="23"/>
  <c r="L13" i="23"/>
  <c r="J14" i="23"/>
  <c r="E7" i="22"/>
  <c r="C15" i="22"/>
  <c r="K31" i="21"/>
  <c r="L28" i="23"/>
  <c r="J35" i="23"/>
  <c r="F16" i="23"/>
  <c r="L20" i="23"/>
  <c r="F25" i="23"/>
  <c r="K17" i="21"/>
  <c r="J31" i="23"/>
  <c r="I23" i="21"/>
  <c r="K19" i="21"/>
  <c r="F22" i="23"/>
  <c r="J32" i="23"/>
  <c r="L23" i="23"/>
  <c r="L16" i="23"/>
  <c r="F7" i="23"/>
  <c r="D28" i="23"/>
  <c r="L8" i="23"/>
  <c r="C35" i="21"/>
  <c r="I17" i="21"/>
  <c r="L14" i="23"/>
  <c r="D22" i="23"/>
  <c r="J10" i="23"/>
  <c r="I11" i="21"/>
  <c r="J11" i="23"/>
  <c r="K25" i="21"/>
  <c r="L26" i="23"/>
  <c r="K27" i="21"/>
  <c r="J17" i="23"/>
  <c r="J7" i="23"/>
  <c r="I19" i="21"/>
  <c r="L17" i="23"/>
  <c r="K11" i="21"/>
  <c r="L25" i="23"/>
  <c r="J29" i="23"/>
  <c r="J26" i="23"/>
  <c r="J8" i="23"/>
  <c r="J13" i="23"/>
  <c r="F31" i="23"/>
  <c r="L11" i="23"/>
  <c r="K21" i="21"/>
  <c r="J34" i="23"/>
  <c r="I31" i="21"/>
  <c r="AC6" i="2" l="1"/>
  <c r="S17" i="18"/>
  <c r="V17" i="18" s="1"/>
  <c r="S7" i="18"/>
  <c r="V7" i="18" s="1"/>
  <c r="S8" i="18"/>
  <c r="V8" i="18" s="1"/>
  <c r="W8" i="18" s="1"/>
  <c r="S9" i="18"/>
  <c r="V9" i="18" s="1"/>
  <c r="S16" i="18"/>
  <c r="V16" i="18" s="1"/>
  <c r="W16" i="18" s="1"/>
  <c r="S15" i="18"/>
  <c r="V15" i="18" s="1"/>
  <c r="AC8" i="9"/>
  <c r="AB8" i="9"/>
  <c r="AE6" i="9"/>
  <c r="AE10" i="9"/>
  <c r="AC8" i="8"/>
  <c r="L25" i="16"/>
  <c r="C9" i="18" s="1"/>
  <c r="L21" i="16"/>
  <c r="M21" i="16" s="1"/>
  <c r="C15" i="18" s="1"/>
  <c r="AE7" i="9"/>
  <c r="AC10" i="2"/>
  <c r="AE10" i="2" s="1"/>
  <c r="AD6" i="2"/>
  <c r="AE6" i="2" s="1"/>
  <c r="AE7" i="2"/>
  <c r="AB9" i="2"/>
  <c r="AD9" i="2"/>
  <c r="AC10" i="8"/>
  <c r="AD10" i="8"/>
  <c r="AB9" i="8"/>
  <c r="AC9" i="8"/>
  <c r="AD8" i="8"/>
  <c r="AB8" i="8"/>
  <c r="AE7" i="8"/>
  <c r="AE6" i="8"/>
  <c r="AE11" i="8"/>
  <c r="AE5" i="8"/>
  <c r="AE8" i="2"/>
  <c r="AE11" i="2"/>
  <c r="AE5" i="2"/>
  <c r="AE9" i="9"/>
  <c r="AD5" i="9"/>
  <c r="AC5" i="9"/>
  <c r="AB5" i="9"/>
  <c r="S37" i="17"/>
  <c r="T2" i="17"/>
  <c r="S39" i="17"/>
  <c r="S45" i="17"/>
  <c r="A2" i="17"/>
  <c r="S41" i="17"/>
  <c r="S47" i="17"/>
  <c r="S43" i="17"/>
  <c r="U37" i="19"/>
  <c r="U47" i="19"/>
  <c r="T39" i="19"/>
  <c r="U43" i="19"/>
  <c r="T47" i="19"/>
  <c r="T43" i="19"/>
  <c r="T41" i="19"/>
  <c r="U41" i="19"/>
  <c r="U45" i="19"/>
  <c r="T45" i="19"/>
  <c r="U39" i="19"/>
  <c r="T37" i="19"/>
  <c r="D7" i="23"/>
  <c r="T7" i="19"/>
  <c r="C29" i="21"/>
  <c r="C17" i="21"/>
  <c r="U21" i="19"/>
  <c r="T29" i="19"/>
  <c r="C25" i="21"/>
  <c r="T25" i="19"/>
  <c r="E29" i="21"/>
  <c r="C19" i="21"/>
  <c r="U25" i="19"/>
  <c r="C7" i="21"/>
  <c r="T15" i="19"/>
  <c r="D31" i="23"/>
  <c r="E21" i="21"/>
  <c r="D34" i="23"/>
  <c r="U13" i="19"/>
  <c r="E7" i="21"/>
  <c r="C23" i="21"/>
  <c r="F10" i="23"/>
  <c r="T11" i="19"/>
  <c r="T9" i="19"/>
  <c r="E11" i="21"/>
  <c r="U11" i="19"/>
  <c r="D16" i="23"/>
  <c r="C9" i="21"/>
  <c r="T33" i="19"/>
  <c r="U33" i="19"/>
  <c r="T7" i="17"/>
  <c r="C31" i="21"/>
  <c r="T13" i="19"/>
  <c r="U7" i="19"/>
  <c r="C21" i="21"/>
  <c r="E9" i="21"/>
  <c r="E35" i="21"/>
  <c r="D13" i="23"/>
  <c r="D10" i="23"/>
  <c r="T17" i="19"/>
  <c r="E31" i="21"/>
  <c r="T35" i="19"/>
  <c r="E33" i="21"/>
  <c r="E27" i="21"/>
  <c r="U23" i="19"/>
  <c r="E17" i="21"/>
  <c r="E15" i="21"/>
  <c r="F19" i="23"/>
  <c r="U9" i="19"/>
  <c r="C11" i="21"/>
  <c r="C33" i="21"/>
  <c r="D25" i="23"/>
  <c r="E19" i="21"/>
  <c r="T21" i="19"/>
  <c r="U27" i="19"/>
  <c r="U35" i="19"/>
  <c r="T31" i="19"/>
  <c r="U31" i="19"/>
  <c r="U17" i="19"/>
  <c r="T23" i="19"/>
  <c r="U29" i="19"/>
  <c r="C13" i="21"/>
  <c r="E13" i="21"/>
  <c r="T27" i="19"/>
  <c r="E23" i="21"/>
  <c r="T19" i="19"/>
  <c r="F34" i="23"/>
  <c r="C27" i="21"/>
  <c r="U15" i="19"/>
  <c r="U19" i="19"/>
  <c r="F28" i="23"/>
  <c r="C15" i="21"/>
  <c r="AE8" i="9" l="1"/>
  <c r="W15" i="18"/>
  <c r="W9" i="18"/>
  <c r="B37" i="19"/>
  <c r="C37" i="19" s="1"/>
  <c r="F47" i="19"/>
  <c r="E47" i="19" s="1"/>
  <c r="B39" i="19"/>
  <c r="C39" i="19" s="1"/>
  <c r="F37" i="19"/>
  <c r="F41" i="19"/>
  <c r="E41" i="19" s="1"/>
  <c r="F45" i="19"/>
  <c r="E45" i="19" s="1"/>
  <c r="B47" i="19"/>
  <c r="C47" i="19" s="1"/>
  <c r="F39" i="19"/>
  <c r="E39" i="19" s="1"/>
  <c r="B43" i="19"/>
  <c r="C43" i="19" s="1"/>
  <c r="F43" i="19"/>
  <c r="E43" i="19" s="1"/>
  <c r="B41" i="19"/>
  <c r="C41" i="19" s="1"/>
  <c r="B45" i="19"/>
  <c r="C45" i="19" s="1"/>
  <c r="F30" i="18"/>
  <c r="D35" i="18" s="1"/>
  <c r="C26" i="18"/>
  <c r="D37" i="18" s="1"/>
  <c r="M25" i="16"/>
  <c r="C17" i="18" s="1"/>
  <c r="W17" i="18" s="1"/>
  <c r="F26" i="18" s="1"/>
  <c r="AE9" i="2"/>
  <c r="C7" i="18"/>
  <c r="W7" i="18" s="1"/>
  <c r="AE10" i="8"/>
  <c r="AE8" i="8"/>
  <c r="AE9" i="8"/>
  <c r="AE5" i="9"/>
  <c r="B9" i="19"/>
  <c r="B21" i="19"/>
  <c r="B33" i="19"/>
  <c r="F13" i="19"/>
  <c r="B19" i="19"/>
  <c r="F25" i="19"/>
  <c r="B11" i="19"/>
  <c r="F15" i="19"/>
  <c r="B13" i="19"/>
  <c r="F35" i="19"/>
  <c r="B15" i="19"/>
  <c r="F33" i="19"/>
  <c r="F17" i="19"/>
  <c r="F31" i="19"/>
  <c r="B35" i="19"/>
  <c r="F11" i="19"/>
  <c r="F19" i="19"/>
  <c r="B17" i="19"/>
  <c r="F29" i="19"/>
  <c r="B29" i="19"/>
  <c r="F9" i="19"/>
  <c r="F7" i="19"/>
  <c r="B23" i="19"/>
  <c r="B7" i="19"/>
  <c r="B31" i="19"/>
  <c r="F23" i="19"/>
  <c r="F21" i="19"/>
  <c r="B25" i="19"/>
  <c r="B27" i="19"/>
  <c r="F27" i="19"/>
  <c r="E37" i="19"/>
  <c r="U37" i="17"/>
  <c r="T41" i="17"/>
  <c r="U39" i="17"/>
  <c r="T37" i="17"/>
  <c r="T45" i="17"/>
  <c r="U43" i="17"/>
  <c r="T43" i="17"/>
  <c r="T47" i="17"/>
  <c r="T39" i="17"/>
  <c r="U45" i="17"/>
  <c r="U41" i="17"/>
  <c r="U47" i="17"/>
  <c r="E19" i="19"/>
  <c r="T15" i="17"/>
  <c r="U29" i="17"/>
  <c r="T9" i="17"/>
  <c r="E29" i="19"/>
  <c r="T33" i="17"/>
  <c r="U7" i="17"/>
  <c r="U11" i="17"/>
  <c r="T29" i="17"/>
  <c r="T31" i="17"/>
  <c r="T19" i="17"/>
  <c r="U31" i="17"/>
  <c r="T25" i="17"/>
  <c r="E17" i="19"/>
  <c r="U21" i="17"/>
  <c r="U13" i="17"/>
  <c r="T21" i="17"/>
  <c r="C11" i="19"/>
  <c r="C23" i="19"/>
  <c r="U33" i="17"/>
  <c r="C15" i="19"/>
  <c r="C31" i="19"/>
  <c r="C9" i="19"/>
  <c r="C29" i="19"/>
  <c r="E13" i="19"/>
  <c r="T27" i="17"/>
  <c r="T35" i="17"/>
  <c r="U15" i="17"/>
  <c r="T13" i="17"/>
  <c r="T17" i="17"/>
  <c r="C33" i="19"/>
  <c r="U35" i="17"/>
  <c r="E9" i="19"/>
  <c r="U25" i="17"/>
  <c r="C19" i="19"/>
  <c r="E25" i="19"/>
  <c r="T11" i="17"/>
  <c r="C35" i="19"/>
  <c r="U27" i="17"/>
  <c r="U19" i="17"/>
  <c r="U23" i="17"/>
  <c r="T23" i="17"/>
  <c r="U17" i="17"/>
  <c r="E7" i="19"/>
  <c r="C27" i="19"/>
  <c r="E21" i="19"/>
  <c r="U9" i="17"/>
  <c r="C25" i="19"/>
  <c r="E35" i="19"/>
  <c r="E23" i="19"/>
  <c r="C13" i="19"/>
  <c r="C7" i="19"/>
  <c r="E15" i="19"/>
  <c r="C21" i="19"/>
  <c r="E33" i="19"/>
  <c r="E31" i="19"/>
  <c r="E11" i="19"/>
  <c r="C17" i="19"/>
  <c r="E27" i="19"/>
  <c r="F22" i="18" l="1"/>
  <c r="C30" i="18"/>
  <c r="D36" i="18" s="1"/>
  <c r="C22" i="18"/>
  <c r="D39" i="18" s="1"/>
  <c r="D38" i="18"/>
  <c r="G47" i="17"/>
  <c r="F47" i="17" s="1"/>
  <c r="G41" i="17"/>
  <c r="F41" i="17" s="1"/>
  <c r="C39" i="17"/>
  <c r="D39" i="17" s="1"/>
  <c r="G45" i="17"/>
  <c r="F45" i="17" s="1"/>
  <c r="G37" i="17"/>
  <c r="F37" i="17" s="1"/>
  <c r="C45" i="17"/>
  <c r="D45" i="17" s="1"/>
  <c r="G39" i="17"/>
  <c r="F39" i="17" s="1"/>
  <c r="C37" i="17"/>
  <c r="D37" i="17" s="1"/>
  <c r="C47" i="17"/>
  <c r="D47" i="17" s="1"/>
  <c r="G43" i="17"/>
  <c r="F43" i="17" s="1"/>
  <c r="C41" i="17"/>
  <c r="D41" i="17" s="1"/>
  <c r="C43" i="17"/>
  <c r="D43" i="17" s="1"/>
  <c r="G19" i="17"/>
  <c r="G23" i="17"/>
  <c r="C9" i="17"/>
  <c r="G7" i="17"/>
  <c r="G17" i="17"/>
  <c r="G25" i="17"/>
  <c r="C23" i="17"/>
  <c r="G21" i="17"/>
  <c r="C17" i="17"/>
  <c r="C15" i="17"/>
  <c r="C25" i="17"/>
  <c r="C33" i="17"/>
  <c r="G33" i="17"/>
  <c r="C13" i="17"/>
  <c r="G29" i="17"/>
  <c r="C31" i="17"/>
  <c r="G31" i="17"/>
  <c r="C7" i="17"/>
  <c r="G13" i="17"/>
  <c r="C11" i="17"/>
  <c r="G11" i="17"/>
  <c r="C21" i="17"/>
  <c r="C27" i="17"/>
  <c r="G15" i="17"/>
  <c r="G9" i="17"/>
  <c r="G27" i="17"/>
  <c r="G35" i="17"/>
  <c r="C35" i="17"/>
  <c r="C19" i="17"/>
  <c r="C29" i="17"/>
  <c r="F35" i="17"/>
  <c r="F11" i="17"/>
  <c r="D23" i="17"/>
  <c r="D25" i="17"/>
  <c r="F19" i="17"/>
  <c r="F9" i="17"/>
  <c r="D19" i="17"/>
  <c r="D9" i="17"/>
  <c r="D17" i="17"/>
  <c r="D35" i="17"/>
  <c r="F29" i="17"/>
  <c r="D33" i="17"/>
  <c r="F13" i="17"/>
  <c r="F17" i="17"/>
  <c r="D27" i="17"/>
  <c r="D13" i="17"/>
  <c r="F31" i="17"/>
  <c r="F23" i="17"/>
  <c r="D7" i="17"/>
  <c r="F21" i="17"/>
  <c r="D31" i="17"/>
  <c r="F33" i="17"/>
  <c r="F15" i="17"/>
  <c r="F7" i="17"/>
  <c r="F25" i="17"/>
  <c r="D15" i="17"/>
  <c r="D11" i="17"/>
  <c r="D21" i="17"/>
  <c r="F27" i="17"/>
  <c r="D29" i="17"/>
  <c r="D40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Lefort</author>
  </authors>
  <commentList>
    <comment ref="C2" authorId="0" shapeId="0" xr:uid="{00000000-0006-0000-0100-000001000000}">
      <text>
        <r>
          <rPr>
            <sz val="14"/>
            <color indexed="81"/>
            <rFont val="Tahoma"/>
            <family val="2"/>
          </rPr>
          <t>Inscrire le nom des équipes dans les cellules 'grisées'</t>
        </r>
      </text>
    </comment>
    <comment ref="G2" authorId="0" shapeId="0" xr:uid="{00000000-0006-0000-0100-000002000000}">
      <text>
        <r>
          <rPr>
            <sz val="14"/>
            <color indexed="81"/>
            <rFont val="Tahoma"/>
            <family val="2"/>
          </rPr>
          <t>Inscrire le nom des équipes dans les cellules 'grisées'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Lefort</author>
  </authors>
  <commentList>
    <comment ref="C2" authorId="0" shapeId="0" xr:uid="{00000000-0006-0000-0200-000001000000}">
      <text>
        <r>
          <rPr>
            <sz val="14"/>
            <color indexed="81"/>
            <rFont val="Tahoma"/>
            <family val="2"/>
          </rPr>
          <t>Inscrire le nom des équipes dans les cellules 'grisées'</t>
        </r>
      </text>
    </comment>
    <comment ref="G2" authorId="0" shapeId="0" xr:uid="{00000000-0006-0000-0200-000002000000}">
      <text>
        <r>
          <rPr>
            <sz val="14"/>
            <color indexed="81"/>
            <rFont val="Tahoma"/>
            <family val="2"/>
          </rPr>
          <t>Inscrire le nom des équipes dans les cellules 'grisées'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Lefort</author>
  </authors>
  <commentList>
    <comment ref="C2" authorId="0" shapeId="0" xr:uid="{00000000-0006-0000-0300-000001000000}">
      <text>
        <r>
          <rPr>
            <sz val="14"/>
            <color indexed="81"/>
            <rFont val="Tahoma"/>
            <family val="2"/>
          </rPr>
          <t>Inscrire le nom des équipes dans les cellules 'grisées'</t>
        </r>
      </text>
    </comment>
    <comment ref="G2" authorId="0" shapeId="0" xr:uid="{00000000-0006-0000-0300-000002000000}">
      <text>
        <r>
          <rPr>
            <sz val="14"/>
            <color indexed="81"/>
            <rFont val="Tahoma"/>
            <family val="2"/>
          </rPr>
          <t>Inscrire le nom des équipes dans les cellules 'grisées'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Lefort</author>
    <author>Lefort bernard</author>
  </authors>
  <commentList>
    <comment ref="F4" authorId="0" shapeId="0" xr:uid="{00000000-0006-0000-0B00-000001000000}">
      <text>
        <r>
          <rPr>
            <sz val="12"/>
            <color indexed="81"/>
            <rFont val="Tahoma"/>
            <family val="2"/>
          </rPr>
          <t xml:space="preserve">Inscrire le nombre de buts marqués dans les colonnes grisées
</t>
        </r>
      </text>
    </comment>
    <comment ref="P8" authorId="1" shapeId="0" xr:uid="{00000000-0006-0000-0B00-000002000000}">
      <text>
        <r>
          <rPr>
            <sz val="12"/>
            <color indexed="81"/>
            <rFont val="Tahoma"/>
            <family val="2"/>
          </rPr>
          <t>Indiquer les points à attribuer pour match gagné , nul et perdu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Lefort</author>
    <author>Lefort bernard</author>
  </authors>
  <commentList>
    <comment ref="F4" authorId="0" shapeId="0" xr:uid="{00000000-0006-0000-0C00-000001000000}">
      <text>
        <r>
          <rPr>
            <sz val="12"/>
            <color indexed="81"/>
            <rFont val="Tahoma"/>
            <family val="2"/>
          </rPr>
          <t xml:space="preserve">Inscrire le nombre de buts marqués dans les colonnes grisées
</t>
        </r>
      </text>
    </comment>
    <comment ref="P8" authorId="1" shapeId="0" xr:uid="{00000000-0006-0000-0C00-000002000000}">
      <text>
        <r>
          <rPr>
            <sz val="12"/>
            <color indexed="81"/>
            <rFont val="Tahoma"/>
            <family val="2"/>
          </rPr>
          <t>Indiquer les points à attribuer pour match gagné , nul et perdu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Lefort</author>
    <author>Lefort bernard</author>
  </authors>
  <commentList>
    <comment ref="F4" authorId="0" shapeId="0" xr:uid="{00000000-0006-0000-0D00-000001000000}">
      <text>
        <r>
          <rPr>
            <sz val="12"/>
            <color indexed="81"/>
            <rFont val="Tahoma"/>
            <family val="2"/>
          </rPr>
          <t xml:space="preserve">Inscrire le nombre de buts marqués dans les colonnes grisées
</t>
        </r>
      </text>
    </comment>
    <comment ref="P8" authorId="1" shapeId="0" xr:uid="{00000000-0006-0000-0D00-000002000000}">
      <text>
        <r>
          <rPr>
            <sz val="12"/>
            <color indexed="81"/>
            <rFont val="Tahoma"/>
            <family val="2"/>
          </rPr>
          <t>Indiquer les points à attribuer pour match gagné , nul et perdu</t>
        </r>
      </text>
    </comment>
  </commentList>
</comments>
</file>

<file path=xl/sharedStrings.xml><?xml version="1.0" encoding="utf-8"?>
<sst xmlns="http://schemas.openxmlformats.org/spreadsheetml/2006/main" count="831" uniqueCount="288">
  <si>
    <t>nom des équipes</t>
  </si>
  <si>
    <t>à</t>
  </si>
  <si>
    <t>équipe</t>
  </si>
  <si>
    <t>1ere</t>
  </si>
  <si>
    <t>total des points</t>
  </si>
  <si>
    <t>points attribués</t>
  </si>
  <si>
    <t>Gagné</t>
  </si>
  <si>
    <t>Nul</t>
  </si>
  <si>
    <t>Perdu</t>
  </si>
  <si>
    <t>X</t>
  </si>
  <si>
    <t>saisie des résultats</t>
  </si>
  <si>
    <t>point(s) attribué(s)</t>
  </si>
  <si>
    <t>différentiel de points</t>
  </si>
  <si>
    <t>points marqués</t>
  </si>
  <si>
    <t>points encaissés</t>
  </si>
  <si>
    <t>contre</t>
  </si>
  <si>
    <t>Quart de Finale</t>
  </si>
  <si>
    <t>Equipes Qualifiées pour les demies-finales</t>
  </si>
  <si>
    <t>Lycée</t>
  </si>
  <si>
    <t>Tourrier</t>
  </si>
  <si>
    <t>groupe départ</t>
  </si>
  <si>
    <t xml:space="preserve">ORDRE DES MATCHES </t>
  </si>
  <si>
    <t>Demi-finale 1</t>
  </si>
  <si>
    <t>Demi-finale 2</t>
  </si>
  <si>
    <t>Total</t>
  </si>
  <si>
    <t>P+</t>
  </si>
  <si>
    <t>P-</t>
  </si>
  <si>
    <t>Classement</t>
  </si>
  <si>
    <t>x</t>
  </si>
  <si>
    <t>Score</t>
  </si>
  <si>
    <t>ARBITRE*</t>
  </si>
  <si>
    <t>* les arbitres peuvent ne pas arbitrer sur le terrain de leur équipe</t>
  </si>
  <si>
    <t>Finale 1 - 2 (en deux sets gagnants)</t>
  </si>
  <si>
    <t>Finale 5 - 6 ( points )</t>
  </si>
  <si>
    <t>Finale 3 - 4 ( points )</t>
  </si>
  <si>
    <t>Lycée Val de Durance - Pertuis</t>
  </si>
  <si>
    <t>Terrain 1</t>
  </si>
  <si>
    <t>A1</t>
  </si>
  <si>
    <t>B1</t>
  </si>
  <si>
    <t>C1</t>
  </si>
  <si>
    <t>D1</t>
  </si>
  <si>
    <t>E1</t>
  </si>
  <si>
    <t>F1</t>
  </si>
  <si>
    <t>FETE DU VOLLEY 2014/2015</t>
  </si>
  <si>
    <t>A2</t>
  </si>
  <si>
    <t>B2</t>
  </si>
  <si>
    <t>C2</t>
  </si>
  <si>
    <t>D2</t>
  </si>
  <si>
    <t>E2</t>
  </si>
  <si>
    <t>F2</t>
  </si>
  <si>
    <t>A3</t>
  </si>
  <si>
    <t>B3</t>
  </si>
  <si>
    <t>C3</t>
  </si>
  <si>
    <t>D3</t>
  </si>
  <si>
    <t>E3</t>
  </si>
  <si>
    <t>F3</t>
  </si>
  <si>
    <t>/</t>
  </si>
  <si>
    <t>Terrain 1 LYCEE</t>
  </si>
  <si>
    <t>Terrain 1 TOURRIER</t>
  </si>
  <si>
    <t>Arbitre</t>
  </si>
  <si>
    <t>Gym. Lycée</t>
  </si>
  <si>
    <t>Gym. Tourrier</t>
  </si>
  <si>
    <t>Terrain 2</t>
  </si>
  <si>
    <t>Terrain 3</t>
  </si>
  <si>
    <t>SCORE</t>
  </si>
  <si>
    <t>Points</t>
  </si>
  <si>
    <t>Gestion arbitre</t>
  </si>
  <si>
    <t>1°Poule1</t>
  </si>
  <si>
    <t>2°Poule3</t>
  </si>
  <si>
    <t>1°Poule2</t>
  </si>
  <si>
    <t>2°Poule1</t>
  </si>
  <si>
    <t>1°Poule3</t>
  </si>
  <si>
    <t>2°Poule2</t>
  </si>
  <si>
    <t>T1</t>
  </si>
  <si>
    <t>T2</t>
  </si>
  <si>
    <t>T3</t>
  </si>
  <si>
    <t>FETE DU VOLLEY 2015/2016</t>
  </si>
  <si>
    <t>arb</t>
  </si>
  <si>
    <t>* les arbitres n'arbitrent PAS sur le terrain de leur équipe</t>
  </si>
  <si>
    <t>12h40</t>
  </si>
  <si>
    <t>12h50</t>
  </si>
  <si>
    <t>13h00</t>
  </si>
  <si>
    <t>13h10</t>
  </si>
  <si>
    <t>13h20</t>
  </si>
  <si>
    <t>13h30</t>
  </si>
  <si>
    <t>13h40</t>
  </si>
  <si>
    <t>13h50</t>
  </si>
  <si>
    <t>14h00</t>
  </si>
  <si>
    <t>14h10</t>
  </si>
  <si>
    <t>14h20</t>
  </si>
  <si>
    <t>14h30</t>
  </si>
  <si>
    <t>14h40</t>
  </si>
  <si>
    <t>14h50</t>
  </si>
  <si>
    <t>15h00</t>
  </si>
  <si>
    <t>Eq</t>
  </si>
  <si>
    <t>Nbr Eq.</t>
  </si>
  <si>
    <t>TERRAIN</t>
  </si>
  <si>
    <t>Poule1</t>
  </si>
  <si>
    <t>poule2</t>
  </si>
  <si>
    <t>poule3</t>
  </si>
  <si>
    <t>eq lycP1</t>
  </si>
  <si>
    <t>eq lyc P2</t>
  </si>
  <si>
    <t>Eq lyc P3</t>
  </si>
  <si>
    <t>Finale</t>
  </si>
  <si>
    <t>1/2 finales</t>
  </si>
  <si>
    <t>Début</t>
  </si>
  <si>
    <t>Fin</t>
  </si>
  <si>
    <t>1/4 finales</t>
  </si>
  <si>
    <t>1 gr de 6</t>
  </si>
  <si>
    <t>Tourier</t>
  </si>
  <si>
    <t>Places 3 à 5</t>
  </si>
  <si>
    <t>2x5 plus</t>
  </si>
  <si>
    <t>Demi 1</t>
  </si>
  <si>
    <t>Demi2</t>
  </si>
  <si>
    <t>M1</t>
  </si>
  <si>
    <t>M2</t>
  </si>
  <si>
    <t>M3</t>
  </si>
  <si>
    <t>Arbitres</t>
  </si>
  <si>
    <t>Choix de la prériode</t>
  </si>
  <si>
    <t>Heure de début</t>
  </si>
  <si>
    <t>Heure</t>
  </si>
  <si>
    <t>Minute</t>
  </si>
  <si>
    <t>Terrain 2 Lycée</t>
  </si>
  <si>
    <t>Terrain 2 Tourrier</t>
  </si>
  <si>
    <t>Terrain 3 Lycée</t>
  </si>
  <si>
    <t>Terrain 3 Tourrier</t>
  </si>
  <si>
    <t>Pause</t>
  </si>
  <si>
    <t>tps entre match</t>
  </si>
  <si>
    <t>heure début</t>
  </si>
  <si>
    <t>Date</t>
  </si>
  <si>
    <t>Jour:</t>
  </si>
  <si>
    <t>Mois</t>
  </si>
  <si>
    <t>Arbitres et Scoreurs</t>
  </si>
  <si>
    <t>Terrain</t>
  </si>
  <si>
    <t>Index recherche pool arbitre</t>
  </si>
  <si>
    <t>pool du terrain</t>
  </si>
  <si>
    <t>Arbitrage</t>
  </si>
  <si>
    <t xml:space="preserve">Pool arbitres </t>
  </si>
  <si>
    <t>Gymnase</t>
  </si>
  <si>
    <t>N° ordre</t>
  </si>
  <si>
    <t>Affectation Poule</t>
  </si>
  <si>
    <t xml:space="preserve"> </t>
  </si>
  <si>
    <t>Gr départ</t>
  </si>
  <si>
    <t>Dif</t>
  </si>
  <si>
    <t>Quot</t>
  </si>
  <si>
    <t>recherche 1-2</t>
  </si>
  <si>
    <t>recherche 2-3</t>
  </si>
  <si>
    <t>recherche 1-2-3</t>
  </si>
  <si>
    <t>Cas Egalité</t>
  </si>
  <si>
    <t>N° Match</t>
  </si>
  <si>
    <t>Vainqueur ---&gt;</t>
  </si>
  <si>
    <t>recherche 2-3-4</t>
  </si>
  <si>
    <t>N°</t>
  </si>
  <si>
    <t>T1 Lyc</t>
  </si>
  <si>
    <t>T2Tou</t>
  </si>
  <si>
    <t>T3Lyc</t>
  </si>
  <si>
    <t>Ordre des matches Demies-finales</t>
  </si>
  <si>
    <t>Vérifiez les groupes de départ</t>
  </si>
  <si>
    <t>Quart T1</t>
  </si>
  <si>
    <t>Quart T2</t>
  </si>
  <si>
    <t>Quart T3</t>
  </si>
  <si>
    <t>1re cas</t>
  </si>
  <si>
    <t>Gr Départ</t>
  </si>
  <si>
    <t>T1=T2 pas important vainqueur QT2 va en demi 2</t>
  </si>
  <si>
    <t>2me cas</t>
  </si>
  <si>
    <t>T1=T3 vainqueur T3 passe en demi 2 permute avec T3 tourrier</t>
  </si>
  <si>
    <t>3me cas</t>
  </si>
  <si>
    <t>même analyse pour Tourrier</t>
  </si>
  <si>
    <t/>
  </si>
  <si>
    <t>T1 Tou</t>
  </si>
  <si>
    <t>T2 Lyc</t>
  </si>
  <si>
    <t>T3 Tou</t>
  </si>
  <si>
    <t>G3</t>
  </si>
  <si>
    <t>A</t>
  </si>
  <si>
    <t>B</t>
  </si>
  <si>
    <t>C</t>
  </si>
  <si>
    <t>D</t>
  </si>
  <si>
    <t>E</t>
  </si>
  <si>
    <t>F</t>
  </si>
  <si>
    <t>G1</t>
  </si>
  <si>
    <t>G</t>
  </si>
  <si>
    <t>G2</t>
  </si>
  <si>
    <t>M4</t>
  </si>
  <si>
    <t>M5</t>
  </si>
  <si>
    <t>M6</t>
  </si>
  <si>
    <t>Groupe7</t>
  </si>
  <si>
    <t>Groupe6</t>
  </si>
  <si>
    <t>Nbr Terrain</t>
  </si>
  <si>
    <t xml:space="preserve"> éq</t>
  </si>
  <si>
    <t>15 rotations</t>
  </si>
  <si>
    <t>17 rotations</t>
  </si>
  <si>
    <t>12 rotations</t>
  </si>
  <si>
    <t>Nbr éq.</t>
  </si>
  <si>
    <t>Récupre le nbr éq.</t>
  </si>
  <si>
    <t>Retourne le N° pool arb</t>
  </si>
  <si>
    <t>Nbr éq par groupe</t>
  </si>
  <si>
    <t>Ordre des rencontres</t>
  </si>
  <si>
    <t>Vict</t>
  </si>
  <si>
    <t>Def</t>
  </si>
  <si>
    <t>nul</t>
  </si>
  <si>
    <t>TSTMG2</t>
  </si>
  <si>
    <t>VERT</t>
  </si>
  <si>
    <t>LYCEE</t>
  </si>
  <si>
    <t>ORANGE</t>
  </si>
  <si>
    <t>BLEU</t>
  </si>
  <si>
    <t>TOURRIER</t>
  </si>
  <si>
    <t>Arb_classe1</t>
  </si>
  <si>
    <t>Arb_classe2</t>
  </si>
  <si>
    <t>Arb_classe3</t>
  </si>
  <si>
    <t>Arb_classe4</t>
  </si>
  <si>
    <t>Arb_classe5</t>
  </si>
  <si>
    <t>Arb_classe6</t>
  </si>
  <si>
    <t>Arb_classe7</t>
  </si>
  <si>
    <t>JAUNE</t>
  </si>
  <si>
    <t>TG1</t>
  </si>
  <si>
    <t>TAGORA</t>
  </si>
  <si>
    <t>1G1</t>
  </si>
  <si>
    <t>2n11</t>
  </si>
  <si>
    <t>1G6</t>
  </si>
  <si>
    <t>2n1</t>
  </si>
  <si>
    <t>TG4</t>
  </si>
  <si>
    <t>1G2</t>
  </si>
  <si>
    <t>1G8</t>
  </si>
  <si>
    <t>2n8</t>
  </si>
  <si>
    <t>2n3</t>
  </si>
  <si>
    <t>TG3</t>
  </si>
  <si>
    <t>TSTMG1</t>
  </si>
  <si>
    <t>1G5</t>
  </si>
  <si>
    <t>2n10</t>
  </si>
  <si>
    <t>2n2</t>
  </si>
  <si>
    <t>TG6</t>
  </si>
  <si>
    <t>TG2</t>
  </si>
  <si>
    <t>1STMG3</t>
  </si>
  <si>
    <t>1G3</t>
  </si>
  <si>
    <t>2n7</t>
  </si>
  <si>
    <t>2n6</t>
  </si>
  <si>
    <t>TG5</t>
  </si>
  <si>
    <t>TG9</t>
  </si>
  <si>
    <t>1G4</t>
  </si>
  <si>
    <t>2n9</t>
  </si>
  <si>
    <t>2n4</t>
  </si>
  <si>
    <t>TG8</t>
  </si>
  <si>
    <t>TG7</t>
  </si>
  <si>
    <t>1AGORA</t>
  </si>
  <si>
    <t>1G7</t>
  </si>
  <si>
    <t>2n5</t>
  </si>
  <si>
    <t>1STMG2</t>
  </si>
  <si>
    <t>ROSE</t>
  </si>
  <si>
    <t>8c</t>
  </si>
  <si>
    <t>9c</t>
  </si>
  <si>
    <t>MIR Lucie</t>
  </si>
  <si>
    <t>PREVOTEAU Lucie</t>
  </si>
  <si>
    <t>LANGONNET Jules</t>
  </si>
  <si>
    <t>BUET-PES Joée</t>
  </si>
  <si>
    <t>RAYMOND Lilou</t>
  </si>
  <si>
    <t>MAIGA Enzo</t>
  </si>
  <si>
    <t>ENGERAND Hugo</t>
  </si>
  <si>
    <t>DEWYSE Justine</t>
  </si>
  <si>
    <t>UROS Hugo</t>
  </si>
  <si>
    <t>CRAVELLO Thomas</t>
  </si>
  <si>
    <t>VENDRELL Julie</t>
  </si>
  <si>
    <t>PINTO Lucas</t>
  </si>
  <si>
    <t>MOKRANI Florian</t>
  </si>
  <si>
    <t>CHOUKROUN Leny</t>
  </si>
  <si>
    <t>NAIL-MORNET Violette</t>
  </si>
  <si>
    <t>LANCESSEUR Lilly</t>
  </si>
  <si>
    <t>MARTINEZ Eva</t>
  </si>
  <si>
    <t>BRUNON Nicolas</t>
  </si>
  <si>
    <t>FELETTI Leane</t>
  </si>
  <si>
    <t>LEPORI Juliette</t>
  </si>
  <si>
    <t>LUZY NACIMENTO L</t>
  </si>
  <si>
    <t>MULLER Mathilde</t>
  </si>
  <si>
    <t>CASTEL Lola</t>
  </si>
  <si>
    <t>DEYDIER Ambre</t>
  </si>
  <si>
    <t>CZORNOMAZ Tatiana</t>
  </si>
  <si>
    <t>DIJOUX Tymoé</t>
  </si>
  <si>
    <t>ROUX Emilie</t>
  </si>
  <si>
    <t>SCHMITT Mathilde</t>
  </si>
  <si>
    <t>THELU Nathan</t>
  </si>
  <si>
    <t>VENTURA Tatiana</t>
  </si>
  <si>
    <t>VELLY Stephen</t>
  </si>
  <si>
    <t>2AGORA</t>
  </si>
  <si>
    <t>GHAOUI Menel</t>
  </si>
  <si>
    <t>BANITE Merwane</t>
  </si>
  <si>
    <t>GOIFFON Pauline</t>
  </si>
  <si>
    <t>BONTOUX JARDEL Lucas</t>
  </si>
  <si>
    <t>TSTMG3</t>
  </si>
  <si>
    <t>FOUCHER Maximilien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</si>
</sst>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:mm;@"/>
  </numFmts>
  <fonts count="50" x14ac:knownFonts="1">
    <font>
      <sz val="10"/>
      <name val="Arial"/>
    </font>
    <font>
      <b/>
      <sz val="8"/>
      <name val="Arial"/>
      <family val="2"/>
    </font>
    <font>
      <b/>
      <sz val="6"/>
      <name val="Arial"/>
      <family val="2"/>
    </font>
    <font>
      <sz val="10"/>
      <name val="Arial"/>
      <family val="2"/>
    </font>
    <font>
      <sz val="11"/>
      <name val="Arial"/>
      <family val="2"/>
    </font>
    <font>
      <sz val="12"/>
      <name val="Arial"/>
      <family val="2"/>
    </font>
    <font>
      <sz val="14"/>
      <name val="Arial"/>
      <family val="2"/>
    </font>
    <font>
      <sz val="14"/>
      <color indexed="81"/>
      <name val="Tahoma"/>
      <family val="2"/>
    </font>
    <font>
      <sz val="12"/>
      <color indexed="81"/>
      <name val="Tahoma"/>
      <family val="2"/>
    </font>
    <font>
      <b/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22"/>
      <name val="Arial"/>
      <family val="2"/>
    </font>
    <font>
      <sz val="20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i/>
      <sz val="10"/>
      <name val="Arial"/>
      <family val="2"/>
    </font>
    <font>
      <b/>
      <i/>
      <sz val="10"/>
      <name val="Arial"/>
      <family val="2"/>
    </font>
    <font>
      <i/>
      <sz val="16"/>
      <name val="Arial"/>
      <family val="2"/>
    </font>
    <font>
      <i/>
      <sz val="20"/>
      <name val="Arial"/>
      <family val="2"/>
    </font>
    <font>
      <i/>
      <sz val="18"/>
      <name val="Arial"/>
      <family val="2"/>
    </font>
    <font>
      <i/>
      <sz val="14"/>
      <name val="Arial"/>
      <family val="2"/>
    </font>
    <font>
      <b/>
      <sz val="9"/>
      <name val="Arial"/>
      <family val="2"/>
    </font>
    <font>
      <i/>
      <sz val="12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b/>
      <sz val="10"/>
      <color theme="0"/>
      <name val="Calibri"/>
      <family val="2"/>
      <scheme val="minor"/>
    </font>
    <font>
      <b/>
      <sz val="12"/>
      <color theme="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i/>
      <sz val="10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6"/>
      <name val="Calibri"/>
      <family val="2"/>
      <scheme val="minor"/>
    </font>
    <font>
      <b/>
      <sz val="14"/>
      <name val="Calibri"/>
      <family val="2"/>
      <scheme val="minor"/>
    </font>
    <font>
      <sz val="10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4"/>
      <color theme="0"/>
      <name val="Arial"/>
      <family val="2"/>
    </font>
    <font>
      <b/>
      <i/>
      <sz val="8"/>
      <color rgb="FFFF0000"/>
      <name val="Calibri"/>
      <family val="2"/>
      <scheme val="minor"/>
    </font>
    <font>
      <i/>
      <sz val="10"/>
      <color theme="0"/>
      <name val="Calibri"/>
      <family val="2"/>
      <scheme val="minor"/>
    </font>
    <font>
      <sz val="10"/>
      <color rgb="FF000000"/>
      <name val="Arial"/>
      <family val="2"/>
    </font>
    <font>
      <b/>
      <sz val="11"/>
      <color rgb="FF0000FF"/>
      <name val="Arial"/>
      <family val="2"/>
    </font>
    <font>
      <b/>
      <sz val="14"/>
      <color rgb="FF000000"/>
      <name val="Arial"/>
      <family val="2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color rgb="FF000000"/>
      <name val="Tahoma"/>
    </font>
  </fonts>
  <fills count="39">
    <fill>
      <patternFill patternType="none"/>
    </fill>
    <fill>
      <patternFill patternType="gray125"/>
    </fill>
    <fill>
      <patternFill patternType="solid">
        <fgColor indexed="65"/>
        <bgColor indexed="8"/>
      </patternFill>
    </fill>
    <fill>
      <patternFill patternType="gray0625">
        <fgColor indexed="23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8"/>
      </patternFill>
    </fill>
    <fill>
      <patternFill patternType="solid">
        <fgColor indexed="51"/>
        <bgColor indexed="8"/>
      </patternFill>
    </fill>
    <fill>
      <patternFill patternType="solid">
        <fgColor indexed="41"/>
        <bgColor indexed="8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92D050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8"/>
      </patternFill>
    </fill>
    <fill>
      <patternFill patternType="solid">
        <fgColor theme="3" tint="0.39997558519241921"/>
        <bgColor indexed="8"/>
      </patternFill>
    </fill>
    <fill>
      <patternFill patternType="solid">
        <fgColor theme="7" tint="0.39997558519241921"/>
        <bgColor indexed="8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969696"/>
        <bgColor indexed="55"/>
      </patternFill>
    </fill>
    <fill>
      <patternFill patternType="solid">
        <fgColor rgb="FF969696"/>
        <bgColor indexed="64"/>
      </patternFill>
    </fill>
    <fill>
      <patternFill patternType="solid">
        <fgColor rgb="FF969696"/>
        <bgColor indexed="8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8"/>
      </patternFill>
    </fill>
    <fill>
      <patternFill patternType="solid">
        <fgColor rgb="FF0070C0"/>
        <bgColor indexed="64"/>
      </patternFill>
    </fill>
    <fill>
      <patternFill patternType="solid">
        <fgColor rgb="FF33CC33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3" fillId="0" borderId="0"/>
  </cellStyleXfs>
  <cellXfs count="45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Continuous" vertical="center"/>
    </xf>
    <xf numFmtId="0" fontId="0" fillId="0" borderId="2" xfId="0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5" fillId="3" borderId="3" xfId="0" applyFont="1" applyFill="1" applyBorder="1" applyAlignment="1" applyProtection="1">
      <alignment horizontal="center" vertical="center"/>
      <protection locked="0"/>
    </xf>
    <xf numFmtId="0" fontId="5" fillId="3" borderId="5" xfId="0" applyFont="1" applyFill="1" applyBorder="1" applyAlignment="1" applyProtection="1">
      <alignment horizontal="center" vertical="center"/>
      <protection locked="0"/>
    </xf>
    <xf numFmtId="0" fontId="5" fillId="3" borderId="6" xfId="0" applyFont="1" applyFill="1" applyBorder="1" applyAlignment="1" applyProtection="1">
      <alignment horizontal="center" vertical="center"/>
      <protection locked="0"/>
    </xf>
    <xf numFmtId="0" fontId="5" fillId="3" borderId="4" xfId="0" applyFont="1" applyFill="1" applyBorder="1" applyAlignment="1" applyProtection="1">
      <alignment horizontal="center" vertical="center"/>
      <protection locked="0"/>
    </xf>
    <xf numFmtId="0" fontId="5" fillId="3" borderId="7" xfId="0" applyFont="1" applyFill="1" applyBorder="1" applyAlignment="1" applyProtection="1">
      <alignment horizontal="center" vertical="center"/>
      <protection locked="0"/>
    </xf>
    <xf numFmtId="0" fontId="3" fillId="2" borderId="8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4" borderId="0" xfId="0" applyFill="1"/>
    <xf numFmtId="0" fontId="9" fillId="0" borderId="1" xfId="0" applyFont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11" fillId="0" borderId="6" xfId="0" applyFont="1" applyBorder="1" applyAlignment="1" applyProtection="1">
      <alignment horizontal="center" vertical="center"/>
      <protection locked="0"/>
    </xf>
    <xf numFmtId="0" fontId="11" fillId="0" borderId="15" xfId="0" applyFont="1" applyBorder="1" applyAlignment="1" applyProtection="1">
      <alignment horizontal="center" vertical="center"/>
      <protection locked="0"/>
    </xf>
    <xf numFmtId="0" fontId="0" fillId="0" borderId="16" xfId="0" applyBorder="1"/>
    <xf numFmtId="0" fontId="12" fillId="0" borderId="13" xfId="0" applyFont="1" applyBorder="1" applyAlignment="1">
      <alignment horizontal="centerContinuous" vertical="center"/>
    </xf>
    <xf numFmtId="0" fontId="3" fillId="0" borderId="13" xfId="0" applyFont="1" applyBorder="1" applyAlignment="1">
      <alignment horizontal="centerContinuous" vertical="center"/>
    </xf>
    <xf numFmtId="0" fontId="0" fillId="0" borderId="13" xfId="0" applyBorder="1" applyAlignment="1">
      <alignment horizontal="centerContinuous" vertical="center"/>
    </xf>
    <xf numFmtId="0" fontId="0" fillId="0" borderId="14" xfId="0" applyBorder="1" applyAlignment="1">
      <alignment horizontal="centerContinuous" vertical="center"/>
    </xf>
    <xf numFmtId="0" fontId="0" fillId="0" borderId="17" xfId="0" applyBorder="1"/>
    <xf numFmtId="0" fontId="0" fillId="0" borderId="5" xfId="0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15" xfId="0" applyBorder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3" fillId="0" borderId="0" xfId="1"/>
    <xf numFmtId="0" fontId="3" fillId="0" borderId="0" xfId="1" applyAlignment="1">
      <alignment horizontal="center"/>
    </xf>
    <xf numFmtId="0" fontId="3" fillId="0" borderId="0" xfId="1" applyAlignment="1">
      <alignment horizontal="center" vertical="center"/>
    </xf>
    <xf numFmtId="0" fontId="13" fillId="0" borderId="1" xfId="1" applyFont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1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9" borderId="0" xfId="0" applyFill="1" applyProtection="1">
      <protection locked="0"/>
    </xf>
    <xf numFmtId="0" fontId="11" fillId="0" borderId="0" xfId="0" applyFont="1" applyAlignment="1">
      <alignment horizontal="center" vertical="center"/>
    </xf>
    <xf numFmtId="0" fontId="11" fillId="10" borderId="1" xfId="0" applyFont="1" applyFill="1" applyBorder="1" applyAlignment="1" applyProtection="1">
      <alignment horizontal="center" vertical="center"/>
      <protection locked="0"/>
    </xf>
    <xf numFmtId="0" fontId="11" fillId="10" borderId="1" xfId="0" applyFont="1" applyFill="1" applyBorder="1" applyAlignment="1" applyProtection="1">
      <alignment horizontal="center"/>
      <protection locked="0"/>
    </xf>
    <xf numFmtId="0" fontId="11" fillId="9" borderId="1" xfId="0" applyFont="1" applyFill="1" applyBorder="1" applyAlignment="1" applyProtection="1">
      <alignment horizontal="center" vertical="center"/>
      <protection locked="0"/>
    </xf>
    <xf numFmtId="0" fontId="11" fillId="9" borderId="1" xfId="0" applyFont="1" applyFill="1" applyBorder="1" applyAlignment="1" applyProtection="1">
      <alignment horizontal="center"/>
      <protection locked="0"/>
    </xf>
    <xf numFmtId="0" fontId="11" fillId="11" borderId="1" xfId="0" applyFont="1" applyFill="1" applyBorder="1" applyAlignment="1" applyProtection="1">
      <alignment horizontal="center" vertical="center"/>
      <protection locked="0"/>
    </xf>
    <xf numFmtId="0" fontId="11" fillId="11" borderId="1" xfId="0" applyFont="1" applyFill="1" applyBorder="1" applyAlignment="1" applyProtection="1">
      <alignment horizontal="center"/>
      <protection locked="0"/>
    </xf>
    <xf numFmtId="0" fontId="11" fillId="0" borderId="0" xfId="0" applyFont="1"/>
    <xf numFmtId="0" fontId="11" fillId="9" borderId="20" xfId="0" applyFont="1" applyFill="1" applyBorder="1" applyAlignment="1" applyProtection="1">
      <alignment horizontal="center"/>
      <protection locked="0"/>
    </xf>
    <xf numFmtId="0" fontId="0" fillId="9" borderId="21" xfId="0" applyFill="1" applyBorder="1"/>
    <xf numFmtId="0" fontId="0" fillId="9" borderId="20" xfId="0" applyFill="1" applyBorder="1"/>
    <xf numFmtId="0" fontId="0" fillId="9" borderId="20" xfId="0" applyFill="1" applyBorder="1" applyProtection="1">
      <protection locked="0"/>
    </xf>
    <xf numFmtId="0" fontId="0" fillId="0" borderId="22" xfId="0" applyBorder="1"/>
    <xf numFmtId="0" fontId="0" fillId="0" borderId="23" xfId="0" applyBorder="1"/>
    <xf numFmtId="0" fontId="14" fillId="0" borderId="24" xfId="0" applyFont="1" applyBorder="1" applyAlignment="1">
      <alignment horizontal="center"/>
    </xf>
    <xf numFmtId="0" fontId="0" fillId="0" borderId="25" xfId="0" applyBorder="1"/>
    <xf numFmtId="0" fontId="0" fillId="0" borderId="26" xfId="0" applyBorder="1"/>
    <xf numFmtId="0" fontId="19" fillId="9" borderId="0" xfId="0" applyFont="1" applyFill="1"/>
    <xf numFmtId="0" fontId="19" fillId="8" borderId="0" xfId="0" applyFont="1" applyFill="1"/>
    <xf numFmtId="0" fontId="18" fillId="0" borderId="1" xfId="0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7" fillId="0" borderId="0" xfId="0" applyFont="1" applyAlignment="1">
      <alignment horizontal="center" vertical="center"/>
    </xf>
    <xf numFmtId="0" fontId="22" fillId="0" borderId="0" xfId="0" applyFont="1"/>
    <xf numFmtId="0" fontId="14" fillId="0" borderId="0" xfId="0" applyFont="1" applyAlignment="1">
      <alignment horizontal="center"/>
    </xf>
    <xf numFmtId="0" fontId="13" fillId="0" borderId="0" xfId="0" applyFont="1"/>
    <xf numFmtId="0" fontId="18" fillId="0" borderId="0" xfId="0" applyFont="1"/>
    <xf numFmtId="0" fontId="13" fillId="0" borderId="0" xfId="0" quotePrefix="1" applyFont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3" fillId="0" borderId="0" xfId="0" applyFont="1"/>
    <xf numFmtId="0" fontId="3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8" fillId="12" borderId="28" xfId="0" applyFont="1" applyFill="1" applyBorder="1" applyAlignment="1">
      <alignment horizontal="center" vertical="center"/>
    </xf>
    <xf numFmtId="0" fontId="18" fillId="12" borderId="0" xfId="0" applyFont="1" applyFill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27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19" fillId="0" borderId="0" xfId="0" applyFont="1"/>
    <xf numFmtId="0" fontId="0" fillId="0" borderId="1" xfId="0" applyBorder="1"/>
    <xf numFmtId="0" fontId="0" fillId="0" borderId="29" xfId="0" applyBorder="1"/>
    <xf numFmtId="0" fontId="0" fillId="0" borderId="2" xfId="0" applyBorder="1"/>
    <xf numFmtId="0" fontId="0" fillId="0" borderId="28" xfId="0" applyBorder="1"/>
    <xf numFmtId="0" fontId="9" fillId="0" borderId="0" xfId="0" applyFont="1" applyAlignment="1">
      <alignment horizontal="center"/>
    </xf>
    <xf numFmtId="0" fontId="0" fillId="0" borderId="0" xfId="0" applyProtection="1">
      <protection locked="0"/>
    </xf>
    <xf numFmtId="0" fontId="3" fillId="0" borderId="0" xfId="0" applyFont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5" fillId="0" borderId="1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27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16" fillId="0" borderId="27" xfId="0" applyFont="1" applyBorder="1" applyAlignment="1">
      <alignment horizontal="center" vertical="center"/>
    </xf>
    <xf numFmtId="0" fontId="25" fillId="0" borderId="27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27" xfId="0" applyFont="1" applyBorder="1" applyAlignment="1">
      <alignment horizontal="center" vertical="center"/>
    </xf>
    <xf numFmtId="0" fontId="19" fillId="0" borderId="0" xfId="0" applyFont="1" applyAlignment="1">
      <alignment horizontal="center"/>
    </xf>
    <xf numFmtId="0" fontId="5" fillId="0" borderId="0" xfId="0" applyFont="1"/>
    <xf numFmtId="0" fontId="11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0" borderId="0" xfId="0" applyFont="1"/>
    <xf numFmtId="0" fontId="21" fillId="0" borderId="27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/>
    </xf>
    <xf numFmtId="0" fontId="21" fillId="0" borderId="24" xfId="0" applyFont="1" applyBorder="1" applyAlignment="1">
      <alignment horizontal="center" vertical="center"/>
    </xf>
    <xf numFmtId="0" fontId="3" fillId="12" borderId="0" xfId="0" applyFont="1" applyFill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8" fillId="12" borderId="23" xfId="0" applyFont="1" applyFill="1" applyBorder="1" applyAlignment="1">
      <alignment horizontal="center" vertical="center"/>
    </xf>
    <xf numFmtId="0" fontId="13" fillId="0" borderId="30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5" fillId="0" borderId="0" xfId="0" applyFont="1"/>
    <xf numFmtId="0" fontId="3" fillId="0" borderId="25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14" fillId="0" borderId="0" xfId="0" applyFont="1"/>
    <xf numFmtId="0" fontId="13" fillId="0" borderId="25" xfId="0" applyFont="1" applyBorder="1" applyAlignment="1">
      <alignment horizontal="center" vertical="center"/>
    </xf>
    <xf numFmtId="0" fontId="22" fillId="0" borderId="32" xfId="0" applyFont="1" applyBorder="1"/>
    <xf numFmtId="0" fontId="29" fillId="0" borderId="0" xfId="0" applyFont="1"/>
    <xf numFmtId="0" fontId="6" fillId="9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9" fillId="8" borderId="0" xfId="0" applyFont="1" applyFill="1" applyAlignment="1">
      <alignment horizontal="center"/>
    </xf>
    <xf numFmtId="0" fontId="14" fillId="15" borderId="1" xfId="1" applyFont="1" applyFill="1" applyBorder="1" applyAlignment="1" applyProtection="1">
      <alignment horizontal="center" vertical="center"/>
      <protection locked="0"/>
    </xf>
    <xf numFmtId="0" fontId="9" fillId="0" borderId="0" xfId="1" applyFont="1" applyAlignment="1">
      <alignment horizontal="center"/>
    </xf>
    <xf numFmtId="0" fontId="19" fillId="13" borderId="1" xfId="0" applyFont="1" applyFill="1" applyBorder="1" applyAlignment="1" applyProtection="1">
      <alignment horizontal="center" vertical="center"/>
      <protection locked="0"/>
    </xf>
    <xf numFmtId="0" fontId="19" fillId="14" borderId="1" xfId="0" applyFont="1" applyFill="1" applyBorder="1" applyAlignment="1" applyProtection="1">
      <alignment horizontal="center" vertical="center"/>
      <protection locked="0"/>
    </xf>
    <xf numFmtId="0" fontId="19" fillId="16" borderId="1" xfId="0" applyFont="1" applyFill="1" applyBorder="1" applyAlignment="1" applyProtection="1">
      <alignment horizontal="center" vertical="center"/>
      <protection locked="0"/>
    </xf>
    <xf numFmtId="0" fontId="11" fillId="8" borderId="20" xfId="0" applyFont="1" applyFill="1" applyBorder="1" applyAlignment="1">
      <alignment horizontal="center"/>
    </xf>
    <xf numFmtId="0" fontId="0" fillId="8" borderId="21" xfId="0" applyFill="1" applyBorder="1"/>
    <xf numFmtId="0" fontId="0" fillId="8" borderId="20" xfId="0" applyFill="1" applyBorder="1"/>
    <xf numFmtId="0" fontId="0" fillId="8" borderId="22" xfId="0" applyFill="1" applyBorder="1"/>
    <xf numFmtId="0" fontId="21" fillId="8" borderId="20" xfId="0" applyFont="1" applyFill="1" applyBorder="1" applyAlignment="1">
      <alignment horizontal="center" vertical="center"/>
    </xf>
    <xf numFmtId="0" fontId="0" fillId="8" borderId="20" xfId="0" applyFill="1" applyBorder="1" applyAlignment="1">
      <alignment horizontal="center" vertical="center"/>
    </xf>
    <xf numFmtId="0" fontId="9" fillId="13" borderId="0" xfId="0" applyFont="1" applyFill="1" applyAlignment="1">
      <alignment horizontal="center"/>
    </xf>
    <xf numFmtId="0" fontId="9" fillId="14" borderId="0" xfId="0" applyFont="1" applyFill="1" applyAlignment="1">
      <alignment horizontal="center"/>
    </xf>
    <xf numFmtId="0" fontId="9" fillId="16" borderId="0" xfId="0" applyFont="1" applyFill="1" applyAlignment="1">
      <alignment horizontal="center"/>
    </xf>
    <xf numFmtId="0" fontId="9" fillId="9" borderId="0" xfId="0" applyFont="1" applyFill="1" applyAlignment="1">
      <alignment horizontal="center"/>
    </xf>
    <xf numFmtId="0" fontId="0" fillId="0" borderId="0" xfId="0" applyAlignment="1" applyProtection="1">
      <alignment vertical="center"/>
      <protection locked="0"/>
    </xf>
    <xf numFmtId="0" fontId="14" fillId="0" borderId="33" xfId="0" applyFont="1" applyBorder="1" applyAlignment="1">
      <alignment horizontal="center"/>
    </xf>
    <xf numFmtId="0" fontId="0" fillId="0" borderId="34" xfId="0" applyBorder="1"/>
    <xf numFmtId="0" fontId="3" fillId="5" borderId="0" xfId="0" applyFont="1" applyFill="1" applyAlignment="1">
      <alignment horizontal="center" vertical="center"/>
    </xf>
    <xf numFmtId="0" fontId="3" fillId="17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3" fillId="18" borderId="0" xfId="0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0" fillId="4" borderId="0" xfId="0" applyFill="1" applyAlignment="1" applyProtection="1">
      <alignment horizontal="center" vertical="center"/>
      <protection locked="0"/>
    </xf>
    <xf numFmtId="0" fontId="22" fillId="0" borderId="0" xfId="0" applyFont="1" applyAlignment="1">
      <alignment horizontal="center"/>
    </xf>
    <xf numFmtId="21" fontId="0" fillId="0" borderId="0" xfId="0" applyNumberFormat="1"/>
    <xf numFmtId="164" fontId="0" fillId="0" borderId="0" xfId="0" applyNumberFormat="1"/>
    <xf numFmtId="0" fontId="0" fillId="20" borderId="0" xfId="0" applyFill="1"/>
    <xf numFmtId="0" fontId="0" fillId="21" borderId="0" xfId="0" applyFill="1"/>
    <xf numFmtId="0" fontId="3" fillId="21" borderId="0" xfId="0" applyFont="1" applyFill="1"/>
    <xf numFmtId="0" fontId="32" fillId="21" borderId="0" xfId="0" applyFont="1" applyFill="1" applyAlignment="1">
      <alignment horizontal="center"/>
    </xf>
    <xf numFmtId="21" fontId="0" fillId="0" borderId="0" xfId="0" applyNumberFormat="1" applyAlignment="1">
      <alignment horizontal="center"/>
    </xf>
    <xf numFmtId="0" fontId="33" fillId="0" borderId="0" xfId="0" applyFont="1"/>
    <xf numFmtId="0" fontId="9" fillId="0" borderId="0" xfId="0" applyFont="1"/>
    <xf numFmtId="0" fontId="9" fillId="0" borderId="1" xfId="0" applyFont="1" applyBorder="1" applyAlignment="1">
      <alignment horizontal="centerContinuous" vertical="center"/>
    </xf>
    <xf numFmtId="0" fontId="0" fillId="0" borderId="18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33" fillId="8" borderId="0" xfId="0" applyFont="1" applyFill="1"/>
    <xf numFmtId="20" fontId="33" fillId="8" borderId="0" xfId="0" applyNumberFormat="1" applyFont="1" applyFill="1"/>
    <xf numFmtId="20" fontId="34" fillId="8" borderId="0" xfId="0" applyNumberFormat="1" applyFont="1" applyFill="1" applyAlignment="1">
      <alignment horizontal="center"/>
    </xf>
    <xf numFmtId="0" fontId="33" fillId="22" borderId="0" xfId="0" applyFont="1" applyFill="1"/>
    <xf numFmtId="20" fontId="33" fillId="0" borderId="0" xfId="0" applyNumberFormat="1" applyFont="1"/>
    <xf numFmtId="0" fontId="33" fillId="23" borderId="0" xfId="0" applyFont="1" applyFill="1"/>
    <xf numFmtId="20" fontId="33" fillId="23" borderId="0" xfId="0" applyNumberFormat="1" applyFont="1" applyFill="1"/>
    <xf numFmtId="20" fontId="34" fillId="23" borderId="0" xfId="0" applyNumberFormat="1" applyFont="1" applyFill="1" applyAlignment="1">
      <alignment horizontal="center"/>
    </xf>
    <xf numFmtId="0" fontId="33" fillId="24" borderId="0" xfId="0" applyFont="1" applyFill="1"/>
    <xf numFmtId="20" fontId="33" fillId="24" borderId="0" xfId="0" applyNumberFormat="1" applyFont="1" applyFill="1"/>
    <xf numFmtId="20" fontId="34" fillId="24" borderId="0" xfId="0" applyNumberFormat="1" applyFont="1" applyFill="1" applyAlignment="1">
      <alignment horizontal="center"/>
    </xf>
    <xf numFmtId="0" fontId="33" fillId="25" borderId="0" xfId="0" applyFont="1" applyFill="1"/>
    <xf numFmtId="20" fontId="33" fillId="25" borderId="0" xfId="0" applyNumberFormat="1" applyFont="1" applyFill="1"/>
    <xf numFmtId="20" fontId="34" fillId="25" borderId="0" xfId="0" applyNumberFormat="1" applyFont="1" applyFill="1" applyAlignment="1">
      <alignment horizontal="center"/>
    </xf>
    <xf numFmtId="20" fontId="35" fillId="25" borderId="0" xfId="0" applyNumberFormat="1" applyFont="1" applyFill="1" applyAlignment="1">
      <alignment horizontal="center"/>
    </xf>
    <xf numFmtId="164" fontId="34" fillId="26" borderId="0" xfId="0" applyNumberFormat="1" applyFont="1" applyFill="1" applyAlignment="1">
      <alignment horizontal="center"/>
    </xf>
    <xf numFmtId="0" fontId="33" fillId="0" borderId="0" xfId="0" applyFont="1" applyAlignment="1">
      <alignment horizontal="right"/>
    </xf>
    <xf numFmtId="0" fontId="9" fillId="0" borderId="0" xfId="0" applyFont="1" applyAlignment="1">
      <alignment horizontal="center" vertical="top"/>
    </xf>
    <xf numFmtId="0" fontId="36" fillId="0" borderId="0" xfId="0" applyFont="1"/>
    <xf numFmtId="0" fontId="36" fillId="0" borderId="1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14" fillId="0" borderId="0" xfId="0" applyFont="1" applyAlignment="1">
      <alignment horizontal="center" vertical="top"/>
    </xf>
    <xf numFmtId="0" fontId="36" fillId="0" borderId="1" xfId="0" applyFont="1" applyBorder="1" applyAlignment="1" applyProtection="1">
      <alignment horizontal="center" vertical="center"/>
      <protection locked="0"/>
    </xf>
    <xf numFmtId="0" fontId="36" fillId="0" borderId="0" xfId="0" applyFont="1" applyAlignment="1">
      <alignment vertical="center"/>
    </xf>
    <xf numFmtId="0" fontId="36" fillId="0" borderId="1" xfId="0" quotePrefix="1" applyFont="1" applyBorder="1" applyAlignment="1" applyProtection="1">
      <alignment horizontal="center" vertical="center"/>
      <protection locked="0"/>
    </xf>
    <xf numFmtId="0" fontId="36" fillId="0" borderId="1" xfId="0" applyFont="1" applyBorder="1"/>
    <xf numFmtId="0" fontId="36" fillId="0" borderId="0" xfId="0" applyFont="1" applyAlignment="1">
      <alignment horizontal="center"/>
    </xf>
    <xf numFmtId="0" fontId="36" fillId="0" borderId="0" xfId="0" applyFont="1" applyAlignment="1">
      <alignment horizontal="center" vertical="top"/>
    </xf>
    <xf numFmtId="0" fontId="37" fillId="0" borderId="0" xfId="0" applyFont="1" applyAlignment="1">
      <alignment vertical="center"/>
    </xf>
    <xf numFmtId="0" fontId="36" fillId="0" borderId="0" xfId="0" applyFont="1" applyAlignment="1">
      <alignment horizontal="center" vertical="center"/>
    </xf>
    <xf numFmtId="0" fontId="21" fillId="9" borderId="20" xfId="0" applyFont="1" applyFill="1" applyBorder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6" fillId="0" borderId="0" xfId="0" applyFont="1" applyAlignment="1">
      <alignment horizontal="center"/>
    </xf>
    <xf numFmtId="0" fontId="21" fillId="8" borderId="35" xfId="0" applyFont="1" applyFill="1" applyBorder="1" applyAlignment="1">
      <alignment horizontal="center" vertical="center"/>
    </xf>
    <xf numFmtId="0" fontId="21" fillId="9" borderId="20" xfId="0" applyFont="1" applyFill="1" applyBorder="1" applyAlignment="1">
      <alignment vertical="center"/>
    </xf>
    <xf numFmtId="0" fontId="3" fillId="9" borderId="0" xfId="0" applyFont="1" applyFill="1"/>
    <xf numFmtId="0" fontId="29" fillId="0" borderId="0" xfId="0" applyFont="1" applyAlignment="1">
      <alignment horizontal="left" vertical="center"/>
    </xf>
    <xf numFmtId="0" fontId="29" fillId="0" borderId="0" xfId="0" applyFont="1" applyAlignment="1">
      <alignment horizontal="left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21" fillId="9" borderId="20" xfId="0" applyFont="1" applyFill="1" applyBorder="1" applyAlignment="1">
      <alignment horizontal="center"/>
    </xf>
    <xf numFmtId="0" fontId="22" fillId="8" borderId="20" xfId="0" applyFont="1" applyFill="1" applyBorder="1" applyAlignment="1">
      <alignment horizontal="center" vertical="center"/>
    </xf>
    <xf numFmtId="0" fontId="22" fillId="9" borderId="20" xfId="0" applyFont="1" applyFill="1" applyBorder="1" applyAlignment="1">
      <alignment horizontal="center" vertical="center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0" fontId="0" fillId="27" borderId="0" xfId="0" applyFill="1"/>
    <xf numFmtId="0" fontId="0" fillId="28" borderId="0" xfId="0" applyFill="1" applyAlignment="1">
      <alignment vertical="center"/>
    </xf>
    <xf numFmtId="0" fontId="3" fillId="29" borderId="0" xfId="0" applyFont="1" applyFill="1" applyAlignment="1">
      <alignment horizontal="center" vertical="center"/>
    </xf>
    <xf numFmtId="0" fontId="1" fillId="29" borderId="0" xfId="0" applyFont="1" applyFill="1" applyAlignment="1">
      <alignment horizontal="center" vertical="center"/>
    </xf>
    <xf numFmtId="0" fontId="0" fillId="27" borderId="0" xfId="0" applyFill="1" applyAlignment="1">
      <alignment horizontal="center" vertical="center"/>
    </xf>
    <xf numFmtId="0" fontId="0" fillId="8" borderId="0" xfId="0" applyFill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21" fillId="30" borderId="0" xfId="0" applyFont="1" applyFill="1" applyAlignment="1">
      <alignment horizontal="center" vertical="center"/>
    </xf>
    <xf numFmtId="0" fontId="21" fillId="25" borderId="0" xfId="0" applyFont="1" applyFill="1" applyAlignment="1">
      <alignment horizontal="center" vertical="center"/>
    </xf>
    <xf numFmtId="0" fontId="21" fillId="16" borderId="0" xfId="0" applyFont="1" applyFill="1" applyAlignment="1">
      <alignment horizontal="center" vertical="center"/>
    </xf>
    <xf numFmtId="1" fontId="4" fillId="0" borderId="1" xfId="0" applyNumberFormat="1" applyFont="1" applyBorder="1" applyAlignment="1">
      <alignment horizontal="center" vertical="center"/>
    </xf>
    <xf numFmtId="1" fontId="4" fillId="0" borderId="15" xfId="0" applyNumberFormat="1" applyFont="1" applyBorder="1" applyAlignment="1">
      <alignment horizontal="center" vertical="center"/>
    </xf>
    <xf numFmtId="0" fontId="30" fillId="31" borderId="0" xfId="0" applyFont="1" applyFill="1" applyAlignment="1" applyProtection="1">
      <alignment horizontal="center" vertical="center"/>
      <protection locked="0"/>
    </xf>
    <xf numFmtId="0" fontId="29" fillId="0" borderId="0" xfId="0" applyFont="1" applyAlignment="1">
      <alignment vertical="center"/>
    </xf>
    <xf numFmtId="0" fontId="30" fillId="24" borderId="0" xfId="0" applyFont="1" applyFill="1" applyAlignment="1" applyProtection="1">
      <alignment horizontal="center" vertical="center"/>
      <protection locked="0"/>
    </xf>
    <xf numFmtId="0" fontId="30" fillId="32" borderId="0" xfId="0" applyFont="1" applyFill="1" applyAlignment="1" applyProtection="1">
      <alignment horizontal="center" vertical="center"/>
      <protection locked="0"/>
    </xf>
    <xf numFmtId="0" fontId="30" fillId="33" borderId="0" xfId="0" applyFont="1" applyFill="1" applyAlignment="1" applyProtection="1">
      <alignment horizontal="center" vertical="center"/>
      <protection locked="0"/>
    </xf>
    <xf numFmtId="0" fontId="29" fillId="0" borderId="22" xfId="0" applyFont="1" applyBorder="1" applyAlignment="1">
      <alignment vertical="center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/>
    <xf numFmtId="0" fontId="21" fillId="0" borderId="0" xfId="0" applyFont="1" applyAlignment="1" applyProtection="1">
      <alignment horizontal="center" vertical="center"/>
      <protection locked="0"/>
    </xf>
    <xf numFmtId="0" fontId="29" fillId="20" borderId="0" xfId="0" applyFont="1" applyFill="1"/>
    <xf numFmtId="0" fontId="29" fillId="13" borderId="0" xfId="0" applyFont="1" applyFill="1"/>
    <xf numFmtId="0" fontId="29" fillId="14" borderId="0" xfId="0" applyFont="1" applyFill="1" applyAlignment="1">
      <alignment horizontal="center"/>
    </xf>
    <xf numFmtId="0" fontId="29" fillId="0" borderId="0" xfId="0" applyFont="1" applyAlignment="1">
      <alignment horizontal="center"/>
    </xf>
    <xf numFmtId="0" fontId="29" fillId="34" borderId="0" xfId="0" applyFont="1" applyFill="1" applyAlignment="1">
      <alignment horizontal="center"/>
    </xf>
    <xf numFmtId="0" fontId="21" fillId="35" borderId="0" xfId="0" applyFont="1" applyFill="1" applyAlignment="1">
      <alignment horizontal="center" vertical="center"/>
    </xf>
    <xf numFmtId="0" fontId="29" fillId="25" borderId="0" xfId="0" applyFont="1" applyFill="1" applyAlignment="1">
      <alignment horizontal="center"/>
    </xf>
    <xf numFmtId="0" fontId="29" fillId="16" borderId="0" xfId="0" applyFont="1" applyFill="1" applyAlignment="1">
      <alignment horizontal="center"/>
    </xf>
    <xf numFmtId="0" fontId="6" fillId="0" borderId="0" xfId="1" applyFont="1"/>
    <xf numFmtId="0" fontId="6" fillId="0" borderId="0" xfId="1" applyFont="1" applyAlignment="1">
      <alignment horizontal="center"/>
    </xf>
    <xf numFmtId="0" fontId="19" fillId="0" borderId="0" xfId="1" applyFont="1" applyAlignment="1">
      <alignment horizontal="left"/>
    </xf>
    <xf numFmtId="0" fontId="6" fillId="0" borderId="0" xfId="1" applyFont="1" applyAlignment="1" applyProtection="1">
      <alignment horizontal="center"/>
      <protection locked="0"/>
    </xf>
    <xf numFmtId="0" fontId="3" fillId="0" borderId="0" xfId="1" applyAlignment="1">
      <alignment vertical="center"/>
    </xf>
    <xf numFmtId="0" fontId="9" fillId="0" borderId="0" xfId="1" applyFont="1" applyAlignment="1">
      <alignment horizontal="center" vertical="center"/>
    </xf>
    <xf numFmtId="0" fontId="3" fillId="0" borderId="0" xfId="1" applyAlignment="1">
      <alignment horizontal="left" vertical="center"/>
    </xf>
    <xf numFmtId="1" fontId="0" fillId="0" borderId="1" xfId="0" applyNumberFormat="1" applyBorder="1" applyAlignment="1" applyProtection="1">
      <alignment horizontal="center" vertical="center"/>
      <protection locked="0"/>
    </xf>
    <xf numFmtId="1" fontId="0" fillId="0" borderId="15" xfId="0" applyNumberFormat="1" applyBorder="1" applyAlignment="1" applyProtection="1">
      <alignment horizontal="center" vertical="center"/>
      <protection locked="0"/>
    </xf>
    <xf numFmtId="0" fontId="9" fillId="34" borderId="0" xfId="1" applyFont="1" applyFill="1" applyAlignment="1" applyProtection="1">
      <alignment horizontal="center"/>
      <protection locked="0"/>
    </xf>
    <xf numFmtId="0" fontId="9" fillId="20" borderId="0" xfId="1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/>
    </xf>
    <xf numFmtId="0" fontId="3" fillId="36" borderId="0" xfId="0" applyFont="1" applyFill="1" applyAlignment="1">
      <alignment horizontal="center" vertical="center"/>
    </xf>
    <xf numFmtId="0" fontId="0" fillId="0" borderId="36" xfId="0" applyBorder="1" applyAlignment="1" applyProtection="1">
      <alignment horizontal="center" vertical="center"/>
      <protection locked="0"/>
    </xf>
    <xf numFmtId="0" fontId="9" fillId="0" borderId="38" xfId="0" applyFont="1" applyBorder="1" applyAlignment="1">
      <alignment horizontal="center" vertical="center"/>
    </xf>
    <xf numFmtId="1" fontId="0" fillId="0" borderId="38" xfId="0" applyNumberFormat="1" applyBorder="1" applyAlignment="1" applyProtection="1">
      <alignment horizontal="center" vertical="center"/>
      <protection locked="0"/>
    </xf>
    <xf numFmtId="0" fontId="0" fillId="0" borderId="38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4" fillId="0" borderId="37" xfId="0" applyFont="1" applyBorder="1" applyAlignment="1">
      <alignment horizontal="center" vertical="center"/>
    </xf>
    <xf numFmtId="1" fontId="4" fillId="0" borderId="38" xfId="0" applyNumberFormat="1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29" fillId="0" borderId="27" xfId="0" applyFont="1" applyBorder="1" applyAlignment="1">
      <alignment horizontal="center" vertical="center"/>
    </xf>
    <xf numFmtId="0" fontId="39" fillId="0" borderId="0" xfId="0" applyFont="1"/>
    <xf numFmtId="0" fontId="39" fillId="0" borderId="0" xfId="0" applyFont="1" applyProtection="1">
      <protection locked="0"/>
    </xf>
    <xf numFmtId="0" fontId="0" fillId="23" borderId="0" xfId="0" applyFill="1" applyAlignment="1">
      <alignment horizontal="center" vertical="center"/>
    </xf>
    <xf numFmtId="0" fontId="0" fillId="23" borderId="0" xfId="0" quotePrefix="1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quotePrefix="1" applyFill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65" fontId="29" fillId="0" borderId="1" xfId="0" applyNumberFormat="1" applyFont="1" applyBorder="1" applyAlignment="1">
      <alignment horizontal="center" vertical="center"/>
    </xf>
    <xf numFmtId="165" fontId="29" fillId="0" borderId="38" xfId="0" applyNumberFormat="1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165" fontId="0" fillId="0" borderId="0" xfId="0" applyNumberFormat="1"/>
    <xf numFmtId="164" fontId="34" fillId="23" borderId="0" xfId="0" applyNumberFormat="1" applyFont="1" applyFill="1" applyAlignment="1">
      <alignment horizontal="center"/>
    </xf>
    <xf numFmtId="164" fontId="31" fillId="10" borderId="0" xfId="0" applyNumberFormat="1" applyFont="1" applyFill="1" applyAlignment="1">
      <alignment horizontal="center"/>
    </xf>
    <xf numFmtId="0" fontId="0" fillId="0" borderId="0" xfId="0" applyAlignment="1">
      <alignment horizontal="left" vertical="center"/>
    </xf>
    <xf numFmtId="0" fontId="9" fillId="0" borderId="27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28" xfId="0" applyFont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20" fillId="12" borderId="0" xfId="0" applyFont="1" applyFill="1" applyAlignment="1">
      <alignment horizontal="center" vertical="center"/>
    </xf>
    <xf numFmtId="0" fontId="29" fillId="9" borderId="0" xfId="0" applyFont="1" applyFill="1"/>
    <xf numFmtId="0" fontId="29" fillId="8" borderId="0" xfId="0" applyFont="1" applyFill="1" applyAlignment="1">
      <alignment horizontal="left" vertical="center"/>
    </xf>
    <xf numFmtId="0" fontId="0" fillId="24" borderId="0" xfId="0" applyFill="1"/>
    <xf numFmtId="0" fontId="29" fillId="24" borderId="0" xfId="0" applyFont="1" applyFill="1"/>
    <xf numFmtId="0" fontId="0" fillId="24" borderId="0" xfId="0" applyFill="1" applyAlignment="1">
      <alignment horizontal="center" vertical="center"/>
    </xf>
    <xf numFmtId="0" fontId="6" fillId="24" borderId="1" xfId="0" applyFont="1" applyFill="1" applyBorder="1" applyAlignment="1">
      <alignment horizontal="center" vertical="center"/>
    </xf>
    <xf numFmtId="0" fontId="6" fillId="24" borderId="27" xfId="0" applyFont="1" applyFill="1" applyBorder="1" applyAlignment="1">
      <alignment horizontal="center" vertical="center"/>
    </xf>
    <xf numFmtId="0" fontId="0" fillId="24" borderId="0" xfId="0" quotePrefix="1" applyFill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29" fillId="0" borderId="1" xfId="0" applyFont="1" applyBorder="1" applyAlignment="1">
      <alignment vertical="center"/>
    </xf>
    <xf numFmtId="20" fontId="33" fillId="8" borderId="0" xfId="0" applyNumberFormat="1" applyFont="1" applyFill="1" applyAlignment="1" applyProtection="1">
      <alignment horizontal="center" vertical="center"/>
      <protection locked="0"/>
    </xf>
    <xf numFmtId="164" fontId="33" fillId="8" borderId="0" xfId="0" applyNumberFormat="1" applyFont="1" applyFill="1" applyAlignment="1" applyProtection="1">
      <alignment horizontal="center" vertical="center"/>
      <protection locked="0"/>
    </xf>
    <xf numFmtId="20" fontId="0" fillId="0" borderId="0" xfId="0" applyNumberFormat="1"/>
    <xf numFmtId="0" fontId="33" fillId="37" borderId="0" xfId="0" applyFont="1" applyFill="1"/>
    <xf numFmtId="20" fontId="33" fillId="37" borderId="0" xfId="0" applyNumberFormat="1" applyFont="1" applyFill="1"/>
    <xf numFmtId="20" fontId="34" fillId="37" borderId="0" xfId="0" applyNumberFormat="1" applyFont="1" applyFill="1" applyAlignment="1">
      <alignment horizontal="center"/>
    </xf>
    <xf numFmtId="0" fontId="0" fillId="37" borderId="0" xfId="0" applyFill="1"/>
    <xf numFmtId="0" fontId="35" fillId="37" borderId="0" xfId="0" applyFont="1" applyFill="1" applyAlignment="1">
      <alignment horizontal="center"/>
    </xf>
    <xf numFmtId="0" fontId="33" fillId="25" borderId="0" xfId="0" applyFont="1" applyFill="1" applyAlignment="1">
      <alignment horizontal="center"/>
    </xf>
    <xf numFmtId="0" fontId="35" fillId="0" borderId="0" xfId="0" applyFont="1" applyAlignment="1">
      <alignment horizontal="center"/>
    </xf>
    <xf numFmtId="0" fontId="35" fillId="24" borderId="0" xfId="0" applyFont="1" applyFill="1" applyAlignment="1">
      <alignment horizontal="center"/>
    </xf>
    <xf numFmtId="20" fontId="42" fillId="0" borderId="0" xfId="0" applyNumberFormat="1" applyFont="1"/>
    <xf numFmtId="20" fontId="42" fillId="24" borderId="0" xfId="0" applyNumberFormat="1" applyFont="1" applyFill="1" applyAlignment="1">
      <alignment horizontal="center"/>
    </xf>
    <xf numFmtId="20" fontId="42" fillId="37" borderId="0" xfId="0" applyNumberFormat="1" applyFont="1" applyFill="1" applyAlignment="1">
      <alignment horizontal="center"/>
    </xf>
    <xf numFmtId="20" fontId="33" fillId="8" borderId="0" xfId="0" applyNumberFormat="1" applyFont="1" applyFill="1" applyAlignment="1">
      <alignment horizontal="center"/>
    </xf>
    <xf numFmtId="20" fontId="35" fillId="23" borderId="38" xfId="0" applyNumberFormat="1" applyFont="1" applyFill="1" applyBorder="1" applyAlignment="1">
      <alignment horizontal="center"/>
    </xf>
    <xf numFmtId="0" fontId="33" fillId="0" borderId="28" xfId="0" applyFont="1" applyBorder="1"/>
    <xf numFmtId="20" fontId="35" fillId="24" borderId="28" xfId="0" applyNumberFormat="1" applyFont="1" applyFill="1" applyBorder="1" applyAlignment="1">
      <alignment horizontal="center"/>
    </xf>
    <xf numFmtId="20" fontId="35" fillId="37" borderId="28" xfId="0" applyNumberFormat="1" applyFont="1" applyFill="1" applyBorder="1" applyAlignment="1">
      <alignment horizontal="center"/>
    </xf>
    <xf numFmtId="0" fontId="35" fillId="37" borderId="28" xfId="0" applyFont="1" applyFill="1" applyBorder="1" applyAlignment="1">
      <alignment horizontal="center"/>
    </xf>
    <xf numFmtId="20" fontId="35" fillId="25" borderId="28" xfId="0" applyNumberFormat="1" applyFont="1" applyFill="1" applyBorder="1" applyAlignment="1">
      <alignment horizontal="center"/>
    </xf>
    <xf numFmtId="20" fontId="35" fillId="26" borderId="28" xfId="0" applyNumberFormat="1" applyFont="1" applyFill="1" applyBorder="1" applyAlignment="1">
      <alignment horizontal="center"/>
    </xf>
    <xf numFmtId="20" fontId="35" fillId="23" borderId="28" xfId="0" applyNumberFormat="1" applyFont="1" applyFill="1" applyBorder="1" applyAlignment="1">
      <alignment horizontal="center"/>
    </xf>
    <xf numFmtId="20" fontId="43" fillId="10" borderId="39" xfId="0" applyNumberFormat="1" applyFont="1" applyFill="1" applyBorder="1" applyAlignment="1">
      <alignment horizontal="center"/>
    </xf>
    <xf numFmtId="20" fontId="33" fillId="9" borderId="0" xfId="0" applyNumberFormat="1" applyFont="1" applyFill="1" applyAlignment="1">
      <alignment horizontal="center"/>
    </xf>
    <xf numFmtId="20" fontId="35" fillId="9" borderId="28" xfId="0" applyNumberFormat="1" applyFont="1" applyFill="1" applyBorder="1" applyAlignment="1">
      <alignment horizontal="center"/>
    </xf>
    <xf numFmtId="0" fontId="0" fillId="38" borderId="0" xfId="0" applyFill="1" applyAlignment="1">
      <alignment vertical="center"/>
    </xf>
    <xf numFmtId="20" fontId="34" fillId="38" borderId="0" xfId="0" applyNumberFormat="1" applyFont="1" applyFill="1" applyAlignment="1">
      <alignment horizontal="center" vertical="center"/>
    </xf>
    <xf numFmtId="20" fontId="33" fillId="38" borderId="0" xfId="0" applyNumberFormat="1" applyFont="1" applyFill="1" applyAlignment="1">
      <alignment horizontal="center" vertical="center"/>
    </xf>
    <xf numFmtId="0" fontId="5" fillId="3" borderId="5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49" fontId="3" fillId="0" borderId="0" xfId="0" quotePrefix="1" applyNumberFormat="1" applyFont="1"/>
    <xf numFmtId="49" fontId="3" fillId="0" borderId="0" xfId="0" applyNumberFormat="1" applyFont="1"/>
    <xf numFmtId="20" fontId="33" fillId="0" borderId="0" xfId="0" applyNumberFormat="1" applyFont="1" applyAlignment="1" applyProtection="1">
      <alignment horizontal="center" vertical="center"/>
      <protection locked="0"/>
    </xf>
    <xf numFmtId="0" fontId="38" fillId="0" borderId="1" xfId="0" applyFont="1" applyBorder="1" applyAlignment="1">
      <alignment horizontal="center" vertical="center" wrapText="1"/>
    </xf>
    <xf numFmtId="0" fontId="3" fillId="0" borderId="40" xfId="0" applyFont="1" applyBorder="1"/>
    <xf numFmtId="0" fontId="0" fillId="0" borderId="40" xfId="0" applyBorder="1" applyAlignment="1">
      <alignment vertical="center"/>
    </xf>
    <xf numFmtId="0" fontId="0" fillId="0" borderId="40" xfId="0" applyBorder="1" applyAlignment="1">
      <alignment horizontal="center" vertical="center"/>
    </xf>
    <xf numFmtId="0" fontId="3" fillId="9" borderId="40" xfId="0" applyFont="1" applyFill="1" applyBorder="1" applyAlignment="1">
      <alignment horizontal="center" vertical="top"/>
    </xf>
    <xf numFmtId="0" fontId="19" fillId="0" borderId="44" xfId="0" applyFont="1" applyBorder="1" applyAlignment="1">
      <alignment horizontal="center" vertical="distributed" wrapText="1"/>
    </xf>
    <xf numFmtId="0" fontId="19" fillId="0" borderId="45" xfId="0" applyFont="1" applyBorder="1" applyAlignment="1">
      <alignment vertical="distributed" wrapText="1"/>
    </xf>
    <xf numFmtId="0" fontId="0" fillId="0" borderId="45" xfId="0" applyBorder="1" applyAlignment="1">
      <alignment horizontal="center" vertical="center"/>
    </xf>
    <xf numFmtId="0" fontId="19" fillId="0" borderId="45" xfId="0" applyFont="1" applyBorder="1" applyAlignment="1">
      <alignment horizontal="center" vertical="distributed" wrapText="1"/>
    </xf>
    <xf numFmtId="0" fontId="19" fillId="0" borderId="46" xfId="0" applyFont="1" applyBorder="1" applyAlignment="1">
      <alignment vertical="distributed" wrapText="1"/>
    </xf>
    <xf numFmtId="0" fontId="47" fillId="0" borderId="0" xfId="0" applyFont="1" applyAlignment="1">
      <alignment horizontal="center" vertical="center"/>
    </xf>
    <xf numFmtId="0" fontId="3" fillId="0" borderId="47" xfId="0" applyFont="1" applyBorder="1"/>
    <xf numFmtId="0" fontId="0" fillId="0" borderId="47" xfId="0" applyBorder="1" applyAlignment="1">
      <alignment horizontal="center"/>
    </xf>
    <xf numFmtId="0" fontId="0" fillId="0" borderId="47" xfId="0" applyBorder="1"/>
    <xf numFmtId="0" fontId="3" fillId="0" borderId="48" xfId="0" applyFont="1" applyBorder="1"/>
    <xf numFmtId="0" fontId="0" fillId="0" borderId="48" xfId="0" applyBorder="1" applyAlignment="1">
      <alignment horizontal="center"/>
    </xf>
    <xf numFmtId="0" fontId="0" fillId="0" borderId="48" xfId="0" applyBorder="1"/>
    <xf numFmtId="0" fontId="6" fillId="0" borderId="0" xfId="0" applyFont="1" applyAlignment="1">
      <alignment horizontal="center" vertical="center"/>
    </xf>
    <xf numFmtId="0" fontId="3" fillId="0" borderId="40" xfId="0" applyFont="1" applyBorder="1" applyAlignment="1">
      <alignment horizontal="center"/>
    </xf>
    <xf numFmtId="0" fontId="3" fillId="0" borderId="40" xfId="0" applyFont="1" applyBorder="1" applyAlignment="1">
      <alignment horizontal="center" vertical="center"/>
    </xf>
    <xf numFmtId="0" fontId="36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>
      <alignment horizontal="center" vertical="center"/>
    </xf>
    <xf numFmtId="0" fontId="48" fillId="0" borderId="1" xfId="0" applyFont="1" applyBorder="1" applyAlignment="1">
      <alignment horizontal="center" vertical="center"/>
    </xf>
    <xf numFmtId="0" fontId="33" fillId="0" borderId="0" xfId="0" applyFont="1" applyAlignment="1">
      <alignment horizontal="center"/>
    </xf>
    <xf numFmtId="0" fontId="14" fillId="20" borderId="0" xfId="0" applyFont="1" applyFill="1" applyAlignment="1" applyProtection="1">
      <alignment horizontal="center" vertical="center"/>
      <protection locked="0"/>
    </xf>
    <xf numFmtId="0" fontId="19" fillId="20" borderId="0" xfId="0" applyFont="1" applyFill="1" applyAlignment="1">
      <alignment horizontal="center"/>
    </xf>
    <xf numFmtId="0" fontId="40" fillId="21" borderId="0" xfId="0" applyFont="1" applyFill="1" applyAlignment="1">
      <alignment horizontal="center"/>
    </xf>
    <xf numFmtId="0" fontId="41" fillId="21" borderId="0" xfId="0" applyFont="1" applyFill="1" applyAlignment="1" applyProtection="1">
      <alignment horizontal="center" vertical="center"/>
      <protection locked="0"/>
    </xf>
    <xf numFmtId="0" fontId="11" fillId="0" borderId="0" xfId="0" applyFont="1" applyAlignment="1">
      <alignment horizontal="center"/>
    </xf>
    <xf numFmtId="20" fontId="29" fillId="0" borderId="38" xfId="0" applyNumberFormat="1" applyFont="1" applyBorder="1" applyAlignment="1">
      <alignment horizontal="center" vertical="center"/>
    </xf>
    <xf numFmtId="20" fontId="29" fillId="0" borderId="28" xfId="0" applyNumberFormat="1" applyFont="1" applyBorder="1" applyAlignment="1">
      <alignment horizontal="center" vertical="center"/>
    </xf>
    <xf numFmtId="20" fontId="29" fillId="0" borderId="39" xfId="0" applyNumberFormat="1" applyFont="1" applyBorder="1" applyAlignment="1">
      <alignment horizontal="center" vertical="center"/>
    </xf>
    <xf numFmtId="0" fontId="29" fillId="0" borderId="28" xfId="0" applyFont="1" applyBorder="1" applyAlignment="1">
      <alignment horizontal="center" vertical="center"/>
    </xf>
    <xf numFmtId="0" fontId="29" fillId="0" borderId="39" xfId="0" applyFont="1" applyBorder="1" applyAlignment="1">
      <alignment horizontal="center" vertical="center"/>
    </xf>
    <xf numFmtId="0" fontId="1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21" fillId="0" borderId="30" xfId="0" applyFont="1" applyBorder="1" applyAlignment="1">
      <alignment horizontal="center" vertical="center"/>
    </xf>
    <xf numFmtId="0" fontId="21" fillId="0" borderId="26" xfId="0" applyFont="1" applyBorder="1" applyAlignment="1">
      <alignment horizontal="center" vertical="center"/>
    </xf>
    <xf numFmtId="0" fontId="29" fillId="0" borderId="38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" fillId="0" borderId="38" xfId="0" applyFont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13" fillId="0" borderId="38" xfId="0" applyFont="1" applyBorder="1" applyAlignment="1">
      <alignment horizontal="center" vertical="center"/>
    </xf>
    <xf numFmtId="0" fontId="13" fillId="0" borderId="39" xfId="0" applyFont="1" applyBorder="1" applyAlignment="1">
      <alignment horizontal="center" vertical="center"/>
    </xf>
    <xf numFmtId="0" fontId="5" fillId="0" borderId="28" xfId="0" applyFont="1" applyBorder="1" applyAlignment="1">
      <alignment horizontal="center" vertical="center"/>
    </xf>
    <xf numFmtId="0" fontId="21" fillId="0" borderId="31" xfId="0" applyFont="1" applyBorder="1" applyAlignment="1">
      <alignment horizontal="center" vertical="center"/>
    </xf>
    <xf numFmtId="0" fontId="21" fillId="0" borderId="24" xfId="0" applyFont="1" applyBorder="1" applyAlignment="1">
      <alignment horizontal="center" vertical="center"/>
    </xf>
    <xf numFmtId="0" fontId="13" fillId="0" borderId="28" xfId="0" quotePrefix="1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3" fillId="23" borderId="0" xfId="0" applyFont="1" applyFill="1" applyAlignment="1">
      <alignment horizontal="center" vertical="center"/>
    </xf>
    <xf numFmtId="0" fontId="0" fillId="2" borderId="41" xfId="0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0" fillId="2" borderId="43" xfId="0" applyFill="1" applyBorder="1" applyAlignment="1">
      <alignment horizontal="center" vertical="center" wrapText="1"/>
    </xf>
    <xf numFmtId="0" fontId="12" fillId="0" borderId="8" xfId="0" applyFont="1" applyBorder="1" applyAlignment="1">
      <alignment horizontal="center" vertical="center"/>
    </xf>
    <xf numFmtId="0" fontId="0" fillId="2" borderId="41" xfId="0" applyFill="1" applyBorder="1" applyAlignment="1">
      <alignment horizontal="center" vertical="center"/>
    </xf>
    <xf numFmtId="0" fontId="0" fillId="2" borderId="42" xfId="0" applyFill="1" applyBorder="1" applyAlignment="1">
      <alignment horizontal="center" vertical="center"/>
    </xf>
    <xf numFmtId="0" fontId="0" fillId="2" borderId="43" xfId="0" applyFill="1" applyBorder="1" applyAlignment="1">
      <alignment horizontal="center" vertical="center"/>
    </xf>
    <xf numFmtId="0" fontId="21" fillId="0" borderId="9" xfId="0" applyFont="1" applyBorder="1" applyAlignment="1" applyProtection="1">
      <alignment horizontal="center" vertical="center"/>
      <protection locked="0"/>
    </xf>
    <xf numFmtId="0" fontId="21" fillId="0" borderId="11" xfId="0" applyFont="1" applyBorder="1" applyAlignment="1" applyProtection="1">
      <alignment horizontal="center" vertical="center"/>
      <protection locked="0"/>
    </xf>
    <xf numFmtId="0" fontId="29" fillId="0" borderId="31" xfId="0" applyFont="1" applyBorder="1" applyAlignment="1">
      <alignment horizontal="center" vertical="center"/>
    </xf>
    <xf numFmtId="0" fontId="29" fillId="0" borderId="32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1" fillId="0" borderId="29" xfId="0" applyFont="1" applyBorder="1" applyAlignment="1" applyProtection="1">
      <alignment horizontal="center" vertical="center"/>
      <protection locked="0"/>
    </xf>
    <xf numFmtId="0" fontId="21" fillId="0" borderId="2" xfId="0" applyFont="1" applyBorder="1" applyAlignment="1" applyProtection="1">
      <alignment horizontal="center" vertical="center"/>
      <protection locked="0"/>
    </xf>
    <xf numFmtId="0" fontId="15" fillId="0" borderId="0" xfId="1" applyFont="1" applyAlignment="1">
      <alignment horizontal="center"/>
    </xf>
    <xf numFmtId="0" fontId="4" fillId="0" borderId="0" xfId="1" applyFont="1" applyAlignment="1">
      <alignment horizontal="center"/>
    </xf>
    <xf numFmtId="0" fontId="16" fillId="0" borderId="0" xfId="1" applyFont="1" applyAlignment="1">
      <alignment horizontal="center"/>
    </xf>
    <xf numFmtId="0" fontId="11" fillId="0" borderId="0" xfId="1" applyFont="1" applyAlignment="1">
      <alignment horizontal="center"/>
    </xf>
    <xf numFmtId="0" fontId="11" fillId="0" borderId="34" xfId="0" applyFont="1" applyBorder="1" applyAlignment="1">
      <alignment horizontal="center"/>
    </xf>
    <xf numFmtId="0" fontId="11" fillId="0" borderId="25" xfId="0" applyFont="1" applyBorder="1" applyAlignment="1">
      <alignment horizontal="center"/>
    </xf>
    <xf numFmtId="0" fontId="20" fillId="0" borderId="0" xfId="0" applyFont="1" applyAlignment="1">
      <alignment horizontal="center"/>
    </xf>
    <xf numFmtId="0" fontId="20" fillId="0" borderId="31" xfId="0" applyFont="1" applyBorder="1" applyAlignment="1">
      <alignment horizontal="center"/>
    </xf>
    <xf numFmtId="0" fontId="20" fillId="0" borderId="32" xfId="0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0" fontId="15" fillId="0" borderId="34" xfId="0" applyFont="1" applyBorder="1" applyAlignment="1">
      <alignment horizontal="center"/>
    </xf>
    <xf numFmtId="0" fontId="14" fillId="0" borderId="34" xfId="0" applyFont="1" applyBorder="1" applyAlignment="1">
      <alignment horizontal="center"/>
    </xf>
    <xf numFmtId="0" fontId="14" fillId="9" borderId="29" xfId="0" applyFont="1" applyFill="1" applyBorder="1" applyAlignment="1" applyProtection="1">
      <alignment horizontal="center"/>
      <protection locked="0"/>
    </xf>
    <xf numFmtId="0" fontId="14" fillId="9" borderId="2" xfId="0" applyFont="1" applyFill="1" applyBorder="1" applyAlignment="1" applyProtection="1">
      <alignment horizontal="center"/>
      <protection locked="0"/>
    </xf>
    <xf numFmtId="0" fontId="14" fillId="9" borderId="29" xfId="0" applyFont="1" applyFill="1" applyBorder="1" applyAlignment="1" applyProtection="1">
      <alignment horizontal="center" vertical="center"/>
      <protection locked="0"/>
    </xf>
    <xf numFmtId="0" fontId="14" fillId="9" borderId="27" xfId="0" applyFont="1" applyFill="1" applyBorder="1" applyAlignment="1" applyProtection="1">
      <alignment horizontal="center" vertical="center"/>
      <protection locked="0"/>
    </xf>
    <xf numFmtId="0" fontId="14" fillId="9" borderId="2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center"/>
    </xf>
    <xf numFmtId="0" fontId="14" fillId="11" borderId="29" xfId="0" applyFont="1" applyFill="1" applyBorder="1" applyAlignment="1" applyProtection="1">
      <alignment horizontal="center"/>
      <protection locked="0"/>
    </xf>
    <xf numFmtId="0" fontId="14" fillId="11" borderId="2" xfId="0" applyFont="1" applyFill="1" applyBorder="1" applyAlignment="1" applyProtection="1">
      <alignment horizontal="center"/>
      <protection locked="0"/>
    </xf>
    <xf numFmtId="0" fontId="14" fillId="11" borderId="29" xfId="0" applyFont="1" applyFill="1" applyBorder="1" applyAlignment="1" applyProtection="1">
      <alignment horizontal="center" vertical="center"/>
      <protection locked="0"/>
    </xf>
    <xf numFmtId="0" fontId="14" fillId="11" borderId="27" xfId="0" applyFont="1" applyFill="1" applyBorder="1" applyAlignment="1" applyProtection="1">
      <alignment horizontal="center" vertical="center"/>
      <protection locked="0"/>
    </xf>
    <xf numFmtId="0" fontId="14" fillId="11" borderId="2" xfId="0" applyFont="1" applyFill="1" applyBorder="1" applyAlignment="1" applyProtection="1">
      <alignment horizontal="center" vertical="center"/>
      <protection locked="0"/>
    </xf>
    <xf numFmtId="0" fontId="14" fillId="10" borderId="29" xfId="0" applyFont="1" applyFill="1" applyBorder="1" applyAlignment="1" applyProtection="1">
      <alignment horizontal="center"/>
      <protection locked="0"/>
    </xf>
    <xf numFmtId="0" fontId="14" fillId="10" borderId="2" xfId="0" applyFont="1" applyFill="1" applyBorder="1" applyAlignment="1" applyProtection="1">
      <alignment horizontal="center"/>
      <protection locked="0"/>
    </xf>
    <xf numFmtId="0" fontId="14" fillId="10" borderId="29" xfId="0" applyFont="1" applyFill="1" applyBorder="1" applyAlignment="1" applyProtection="1">
      <alignment horizontal="center" vertical="center"/>
      <protection locked="0"/>
    </xf>
    <xf numFmtId="0" fontId="14" fillId="10" borderId="27" xfId="0" applyFont="1" applyFill="1" applyBorder="1" applyAlignment="1" applyProtection="1">
      <alignment horizontal="center" vertical="center"/>
      <protection locked="0"/>
    </xf>
    <xf numFmtId="0" fontId="14" fillId="10" borderId="2" xfId="0" applyFont="1" applyFill="1" applyBorder="1" applyAlignment="1" applyProtection="1">
      <alignment horizontal="center" vertical="center"/>
      <protection locked="0"/>
    </xf>
    <xf numFmtId="0" fontId="9" fillId="9" borderId="20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37">
    <dxf>
      <fill>
        <patternFill>
          <bgColor theme="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3" tint="0.39994506668294322"/>
        </patternFill>
      </fill>
    </dxf>
    <dxf>
      <fill>
        <patternFill>
          <bgColor theme="0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3" tint="0.39994506668294322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checked="Checked" firstButton="1" fmlaLink="I6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Spin" dx="16" fmlaLink="$C$6" max="2025" min="2015" page="10" val="2022"/>
</file>

<file path=xl/ctrlProps/ctrlProp4.xml><?xml version="1.0" encoding="utf-8"?>
<formControlPr xmlns="http://schemas.microsoft.com/office/spreadsheetml/2009/9/main" objectType="Drop" dropStyle="combo" dx="20" fmlaLink="$Q$2" fmlaRange="$R$2:$R$3" noThreeD="1" sel="1" val="0"/>
</file>

<file path=xl/ctrlProps/ctrlProp5.xml><?xml version="1.0" encoding="utf-8"?>
<formControlPr xmlns="http://schemas.microsoft.com/office/spreadsheetml/2009/9/main" objectType="Drop" dropLines="4" dropStyle="combo" dx="20" fmlaLink="$L$1" fmlaRange="$N$1:$N$3" noThreeD="1" sel="2" val="0"/>
</file>

<file path=xl/ctrlProps/ctrlProp6.xml><?xml version="1.0" encoding="utf-8"?>
<formControlPr xmlns="http://schemas.microsoft.com/office/spreadsheetml/2009/9/main" objectType="Drop" dropStyle="combo" dx="20" fmlaLink="$Q$2" fmlaRange="$R$2:$R$3" noThreeD="1" sel="1" val="0"/>
</file>

<file path=xl/ctrlProps/ctrlProp7.xml><?xml version="1.0" encoding="utf-8"?>
<formControlPr xmlns="http://schemas.microsoft.com/office/spreadsheetml/2009/9/main" objectType="Drop" dropLines="4" dropStyle="combo" dx="20" fmlaLink="$Q$6" fmlaRange="$R$6:$R$8" noThreeD="1" sel="2" val="0"/>
</file>

<file path=xl/ctrlProps/ctrlProp8.xml><?xml version="1.0" encoding="utf-8"?>
<formControlPr xmlns="http://schemas.microsoft.com/office/spreadsheetml/2009/9/main" objectType="Drop" dropStyle="combo" dx="20" fmlaLink="$P$2" fmlaRange="$Q$2:$Q$3" noThreeD="1" sel="1" val="0"/>
</file>

<file path=xl/ctrlProps/ctrlProp9.xml><?xml version="1.0" encoding="utf-8"?>
<formControlPr xmlns="http://schemas.microsoft.com/office/spreadsheetml/2009/9/main" objectType="Drop" dropLines="4" dropStyle="combo" dx="20" fmlaLink="$P$6" fmlaRange="$Q$6:$Q$9" noThreeD="1" sel="1" val="0"/>
</file>

<file path=xl/ctrlProps/ctrlProp10.xml><?xml version="1.0" encoding="utf-8"?>
<formControlPr xmlns="http://schemas.microsoft.com/office/spreadsheetml/2009/9/main" objectType="Drop" dropStyle="combo" dx="20" fmlaLink="$Q$2" fmlaRange="$R$2:$R$3" noThreeD="1" sel="2" val="0"/>
</file>

<file path=xl/ctrlProps/ctrlProp11.xml><?xml version="1.0" encoding="utf-8"?>
<formControlPr xmlns="http://schemas.microsoft.com/office/spreadsheetml/2009/9/main" objectType="Drop" dropLines="3" dropStyle="combo" dx="20" fmlaLink="$L$1" fmlaRange="$N$1:$N$3" noThreeD="1" sel="3" val="0"/>
</file>

<file path=xl/ctrlProps/ctrlProp12.xml><?xml version="1.0" encoding="utf-8"?>
<formControlPr xmlns="http://schemas.microsoft.com/office/spreadsheetml/2009/9/main" objectType="Drop" dropStyle="combo" dx="20" fmlaLink="$Q$2" fmlaRange="$R$2:$R$3" noThreeD="1" sel="1" val="0"/>
</file>

<file path=xl/ctrlProps/ctrlProp13.xml><?xml version="1.0" encoding="utf-8"?>
<formControlPr xmlns="http://schemas.microsoft.com/office/spreadsheetml/2009/9/main" objectType="Drop" dropLines="4" dropStyle="combo" dx="20" fmlaLink="$Q$6" fmlaRange="$R$6:$R$9" noThreeD="1" sel="1" val="0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2</xdr:row>
      <xdr:rowOff>0</xdr:rowOff>
    </xdr:from>
    <xdr:to>
      <xdr:col>9</xdr:col>
      <xdr:colOff>80109</xdr:colOff>
      <xdr:row>8</xdr:row>
      <xdr:rowOff>165719</xdr:rowOff>
    </xdr:to>
    <xdr:sp macro="" textlink="">
      <xdr:nvSpPr>
        <xdr:cNvPr id="3" name="Rogner un rectangle à un seul coi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2552700" y="323850"/>
          <a:ext cx="1933575" cy="1238250"/>
        </a:xfrm>
        <a:prstGeom prst="snip1Rect">
          <a:avLst/>
        </a:prstGeom>
        <a:solidFill>
          <a:schemeClr val="tx2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fr-FR" sz="1400" b="1">
              <a:solidFill>
                <a:schemeClr val="bg1"/>
              </a:solidFill>
            </a:rPr>
            <a:t>Choix du Gymnase</a:t>
          </a:r>
        </a:p>
      </xdr:txBody>
    </xdr:sp>
    <xdr:clientData/>
  </xdr:twoCellAnchor>
  <xdr:twoCellAnchor>
    <xdr:from>
      <xdr:col>6</xdr:col>
      <xdr:colOff>413385</xdr:colOff>
      <xdr:row>5</xdr:row>
      <xdr:rowOff>116205</xdr:rowOff>
    </xdr:from>
    <xdr:to>
      <xdr:col>7</xdr:col>
      <xdr:colOff>779330</xdr:colOff>
      <xdr:row>7</xdr:row>
      <xdr:rowOff>103851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3971925" y="962025"/>
          <a:ext cx="1104900" cy="311496"/>
        </a:xfrm>
        <a:prstGeom prst="rect">
          <a:avLst/>
        </a:prstGeom>
        <a:solidFill>
          <a:schemeClr val="tx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400" b="1">
              <a:solidFill>
                <a:schemeClr val="bg1"/>
              </a:solidFill>
            </a:rPr>
            <a:t>Tourrier</a:t>
          </a:r>
        </a:p>
      </xdr:txBody>
    </xdr:sp>
    <xdr:clientData/>
  </xdr:twoCellAnchor>
  <xdr:twoCellAnchor>
    <xdr:from>
      <xdr:col>11</xdr:col>
      <xdr:colOff>30480</xdr:colOff>
      <xdr:row>5</xdr:row>
      <xdr:rowOff>0</xdr:rowOff>
    </xdr:from>
    <xdr:to>
      <xdr:col>12</xdr:col>
      <xdr:colOff>769620</xdr:colOff>
      <xdr:row>7</xdr:row>
      <xdr:rowOff>167640</xdr:rowOff>
    </xdr:to>
    <xdr:grpSp>
      <xdr:nvGrpSpPr>
        <xdr:cNvPr id="30843" name="Groupe 7">
          <a:extLst>
            <a:ext uri="{FF2B5EF4-FFF2-40B4-BE49-F238E27FC236}">
              <a16:creationId xmlns:a16="http://schemas.microsoft.com/office/drawing/2014/main" id="{00000000-0008-0000-0000-00007B780000}"/>
            </a:ext>
          </a:extLst>
        </xdr:cNvPr>
        <xdr:cNvGrpSpPr>
          <a:grpSpLocks/>
        </xdr:cNvGrpSpPr>
      </xdr:nvGrpSpPr>
      <xdr:grpSpPr bwMode="auto">
        <a:xfrm>
          <a:off x="4821555" y="923925"/>
          <a:ext cx="1491615" cy="481965"/>
          <a:chOff x="6457950" y="923925"/>
          <a:chExt cx="1476375" cy="476250"/>
        </a:xfrm>
      </xdr:grpSpPr>
      <xdr:sp macro="" textlink="">
        <xdr:nvSpPr>
          <xdr:cNvPr id="30851" name="Rectangle 5">
            <a:extLst>
              <a:ext uri="{FF2B5EF4-FFF2-40B4-BE49-F238E27FC236}">
                <a16:creationId xmlns:a16="http://schemas.microsoft.com/office/drawing/2014/main" id="{00000000-0008-0000-0000-000083780000}"/>
              </a:ext>
            </a:extLst>
          </xdr:cNvPr>
          <xdr:cNvSpPr>
            <a:spLocks noChangeArrowheads="1"/>
          </xdr:cNvSpPr>
        </xdr:nvSpPr>
        <xdr:spPr bwMode="auto">
          <a:xfrm>
            <a:off x="6457950" y="923925"/>
            <a:ext cx="723900" cy="476250"/>
          </a:xfrm>
          <a:prstGeom prst="rect">
            <a:avLst/>
          </a:prstGeom>
          <a:noFill/>
          <a:ln w="9525" algn="ctr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0852" name="Rectangle 18">
            <a:extLst>
              <a:ext uri="{FF2B5EF4-FFF2-40B4-BE49-F238E27FC236}">
                <a16:creationId xmlns:a16="http://schemas.microsoft.com/office/drawing/2014/main" id="{00000000-0008-0000-0000-000084780000}"/>
              </a:ext>
            </a:extLst>
          </xdr:cNvPr>
          <xdr:cNvSpPr>
            <a:spLocks noChangeArrowheads="1"/>
          </xdr:cNvSpPr>
        </xdr:nvSpPr>
        <xdr:spPr bwMode="auto">
          <a:xfrm>
            <a:off x="7210425" y="923925"/>
            <a:ext cx="723900" cy="476250"/>
          </a:xfrm>
          <a:prstGeom prst="rect">
            <a:avLst/>
          </a:prstGeom>
          <a:noFill/>
          <a:ln w="9525" algn="ctr">
            <a:solidFill>
              <a:srgbClr val="FFFFFF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 editAs="absolute">
    <xdr:from>
      <xdr:col>4</xdr:col>
      <xdr:colOff>43339</xdr:colOff>
      <xdr:row>14</xdr:row>
      <xdr:rowOff>106680</xdr:rowOff>
    </xdr:from>
    <xdr:to>
      <xdr:col>7</xdr:col>
      <xdr:colOff>226560</xdr:colOff>
      <xdr:row>17</xdr:row>
      <xdr:rowOff>37803</xdr:rowOff>
    </xdr:to>
    <xdr:sp macro="[0]!appel_poule1" textlink="">
      <xdr:nvSpPr>
        <xdr:cNvPr id="11" name="Organigramme : Stockage à accès direc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2110264" y="2482215"/>
          <a:ext cx="1329985" cy="422794"/>
        </a:xfrm>
        <a:prstGeom prst="flowChartMagneticDrum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chemeClr val="tx2">
              <a:lumMod val="60000"/>
              <a:lumOff val="4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63500" dist="50800">
            <a:prstClr val="black">
              <a:alpha val="50000"/>
            </a:prstClr>
          </a:innerShd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fr-FR" sz="1100"/>
            <a:t>Remplir </a:t>
          </a:r>
        </a:p>
        <a:p>
          <a:pPr algn="ctr"/>
          <a:r>
            <a:rPr lang="fr-FR" sz="1100"/>
            <a:t>Terrain 1</a:t>
          </a:r>
        </a:p>
      </xdr:txBody>
    </xdr:sp>
    <xdr:clientData/>
  </xdr:twoCellAnchor>
  <xdr:twoCellAnchor>
    <xdr:from>
      <xdr:col>4</xdr:col>
      <xdr:colOff>43339</xdr:colOff>
      <xdr:row>18</xdr:row>
      <xdr:rowOff>55245</xdr:rowOff>
    </xdr:from>
    <xdr:to>
      <xdr:col>7</xdr:col>
      <xdr:colOff>226560</xdr:colOff>
      <xdr:row>20</xdr:row>
      <xdr:rowOff>146534</xdr:rowOff>
    </xdr:to>
    <xdr:sp macro="[0]!appel_poule2" textlink="">
      <xdr:nvSpPr>
        <xdr:cNvPr id="22" name="Organigramme : Stockage à accès direct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2110264" y="3076575"/>
          <a:ext cx="1329985" cy="424842"/>
        </a:xfrm>
        <a:prstGeom prst="flowChartMagneticDrum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chemeClr val="tx2">
              <a:lumMod val="60000"/>
              <a:lumOff val="4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63500" dist="50800">
            <a:prstClr val="black">
              <a:alpha val="50000"/>
            </a:prstClr>
          </a:innerShd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fr-FR" sz="1100"/>
            <a:t>Remplir </a:t>
          </a:r>
        </a:p>
        <a:p>
          <a:pPr algn="ctr"/>
          <a:r>
            <a:rPr lang="fr-FR" sz="1100"/>
            <a:t>Terrain 2</a:t>
          </a:r>
        </a:p>
      </xdr:txBody>
    </xdr:sp>
    <xdr:clientData/>
  </xdr:twoCellAnchor>
  <xdr:twoCellAnchor>
    <xdr:from>
      <xdr:col>4</xdr:col>
      <xdr:colOff>43339</xdr:colOff>
      <xdr:row>22</xdr:row>
      <xdr:rowOff>9525</xdr:rowOff>
    </xdr:from>
    <xdr:to>
      <xdr:col>7</xdr:col>
      <xdr:colOff>226560</xdr:colOff>
      <xdr:row>24</xdr:row>
      <xdr:rowOff>125691</xdr:rowOff>
    </xdr:to>
    <xdr:sp macro="[0]!appel_poule3" textlink="">
      <xdr:nvSpPr>
        <xdr:cNvPr id="23" name="Organigramme : Stockage à accès direct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2110264" y="3686175"/>
          <a:ext cx="1329985" cy="424842"/>
        </a:xfrm>
        <a:prstGeom prst="flowChartMagneticDrum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solidFill>
            <a:schemeClr val="tx2">
              <a:lumMod val="60000"/>
              <a:lumOff val="40000"/>
            </a:schemeClr>
          </a:solidFill>
          <a:prstDash val="solid"/>
          <a:round/>
          <a:headEnd type="none" w="med" len="med"/>
          <a:tailEnd type="none" w="med" len="med"/>
        </a:ln>
        <a:effectLst>
          <a:innerShdw blurRad="63500" dist="50800">
            <a:prstClr val="black">
              <a:alpha val="50000"/>
            </a:prstClr>
          </a:innerShd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fr-FR" sz="1100"/>
            <a:t>Remplir </a:t>
          </a:r>
        </a:p>
        <a:p>
          <a:pPr algn="ctr"/>
          <a:r>
            <a:rPr lang="fr-FR" sz="1100"/>
            <a:t>Terrain 3</a:t>
          </a:r>
        </a:p>
      </xdr:txBody>
    </xdr:sp>
    <xdr:clientData/>
  </xdr:twoCellAnchor>
  <xdr:twoCellAnchor>
    <xdr:from>
      <xdr:col>8</xdr:col>
      <xdr:colOff>268605</xdr:colOff>
      <xdr:row>15</xdr:row>
      <xdr:rowOff>9525</xdr:rowOff>
    </xdr:from>
    <xdr:to>
      <xdr:col>11</xdr:col>
      <xdr:colOff>384799</xdr:colOff>
      <xdr:row>24</xdr:row>
      <xdr:rowOff>76200</xdr:rowOff>
    </xdr:to>
    <xdr:sp macro="[0]!tout_les_terrains" textlink="">
      <xdr:nvSpPr>
        <xdr:cNvPr id="12" name="Organigramme : Multidocumen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4248150" y="2552700"/>
          <a:ext cx="923925" cy="1524000"/>
        </a:xfrm>
        <a:prstGeom prst="flowChartMultidocumen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innerShdw blurRad="63500" dist="50800">
            <a:prstClr val="black">
              <a:alpha val="50000"/>
            </a:prstClr>
          </a:innerShdw>
        </a:effectLst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fr-FR" sz="1400" b="1"/>
            <a:t>Voir tous les Terrains</a:t>
          </a:r>
        </a:p>
      </xdr:txBody>
    </xdr:sp>
    <xdr:clientData/>
  </xdr:twoCellAnchor>
  <xdr:twoCellAnchor>
    <xdr:from>
      <xdr:col>4</xdr:col>
      <xdr:colOff>213360</xdr:colOff>
      <xdr:row>10</xdr:row>
      <xdr:rowOff>106680</xdr:rowOff>
    </xdr:from>
    <xdr:to>
      <xdr:col>12</xdr:col>
      <xdr:colOff>605798</xdr:colOff>
      <xdr:row>13</xdr:row>
      <xdr:rowOff>57254</xdr:rowOff>
    </xdr:to>
    <xdr:sp macro="" textlink="">
      <xdr:nvSpPr>
        <xdr:cNvPr id="16" name="ZoneTex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2346960" y="1939290"/>
          <a:ext cx="4011926" cy="47251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800" b="1"/>
            <a:t>Constitution des groupes</a:t>
          </a:r>
        </a:p>
      </xdr:txBody>
    </xdr:sp>
    <xdr:clientData/>
  </xdr:twoCellAnchor>
  <xdr:twoCellAnchor>
    <xdr:from>
      <xdr:col>6</xdr:col>
      <xdr:colOff>413385</xdr:colOff>
      <xdr:row>3</xdr:row>
      <xdr:rowOff>150495</xdr:rowOff>
    </xdr:from>
    <xdr:to>
      <xdr:col>7</xdr:col>
      <xdr:colOff>779330</xdr:colOff>
      <xdr:row>5</xdr:row>
      <xdr:rowOff>112641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3971925" y="647700"/>
          <a:ext cx="1104900" cy="311496"/>
        </a:xfrm>
        <a:prstGeom prst="rect">
          <a:avLst/>
        </a:prstGeom>
        <a:solidFill>
          <a:schemeClr val="tx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fr-FR" sz="1400" b="1">
              <a:solidFill>
                <a:schemeClr val="bg1"/>
              </a:solidFill>
            </a:rPr>
            <a:t>Lycée</a:t>
          </a:r>
        </a:p>
      </xdr:txBody>
    </xdr:sp>
    <xdr:clientData/>
  </xdr:twoCellAnchor>
  <xdr:twoCellAnchor>
    <xdr:from>
      <xdr:col>4</xdr:col>
      <xdr:colOff>43339</xdr:colOff>
      <xdr:row>26</xdr:row>
      <xdr:rowOff>0</xdr:rowOff>
    </xdr:from>
    <xdr:to>
      <xdr:col>7</xdr:col>
      <xdr:colOff>226560</xdr:colOff>
      <xdr:row>28</xdr:row>
      <xdr:rowOff>100992</xdr:rowOff>
    </xdr:to>
    <xdr:sp macro="[0]!appel_pool_arbitres" textlink="">
      <xdr:nvSpPr>
        <xdr:cNvPr id="17" name="Organigramme : Stockage à accès direct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2110264" y="4324350"/>
          <a:ext cx="1329985" cy="424842"/>
        </a:xfrm>
        <a:prstGeom prst="flowChartMagneticDrum">
          <a:avLst/>
        </a:prstGeom>
        <a:solidFill>
          <a:srgbClr val="1F497D">
            <a:lumMod val="60000"/>
            <a:lumOff val="40000"/>
          </a:srgbClr>
        </a:solidFill>
        <a:ln w="9525" cap="flat" cmpd="sng" algn="ctr">
          <a:solidFill>
            <a:srgbClr val="1F497D">
              <a:lumMod val="60000"/>
              <a:lumOff val="40000"/>
            </a:srgbClr>
          </a:solidFill>
          <a:prstDash val="solid"/>
          <a:round/>
          <a:headEnd type="none" w="med" len="med"/>
          <a:tailEnd type="none" w="med" len="med"/>
        </a:ln>
        <a:effectLst>
          <a:innerShdw blurRad="63500" dist="50800">
            <a:prstClr val="black">
              <a:alpha val="50000"/>
            </a:prstClr>
          </a:innerShdw>
        </a:effectLst>
      </xdr:spPr>
      <xdr:txBody>
        <a:bodyPr vertOverflow="clip" horzOverflow="clip" wrap="square" lIns="18288" tIns="0" rIns="0" bIns="0" rtlCol="0" anchor="ctr" upright="1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</a:rPr>
            <a:t>Pool arbitres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3</xdr:row>
          <xdr:rowOff>171450</xdr:rowOff>
        </xdr:from>
        <xdr:to>
          <xdr:col>7</xdr:col>
          <xdr:colOff>781050</xdr:colOff>
          <xdr:row>5</xdr:row>
          <xdr:rowOff>57150</xdr:rowOff>
        </xdr:to>
        <xdr:sp macro="" textlink="">
          <xdr:nvSpPr>
            <xdr:cNvPr id="25604" name="Option 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0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152400</xdr:colOff>
          <xdr:row>5</xdr:row>
          <xdr:rowOff>133350</xdr:rowOff>
        </xdr:from>
        <xdr:to>
          <xdr:col>8</xdr:col>
          <xdr:colOff>0</xdr:colOff>
          <xdr:row>7</xdr:row>
          <xdr:rowOff>123825</xdr:rowOff>
        </xdr:to>
        <xdr:sp macro="" textlink="">
          <xdr:nvSpPr>
            <xdr:cNvPr id="25602" name="Option 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0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 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5</xdr:row>
          <xdr:rowOff>9525</xdr:rowOff>
        </xdr:from>
        <xdr:to>
          <xdr:col>1</xdr:col>
          <xdr:colOff>314325</xdr:colOff>
          <xdr:row>8</xdr:row>
          <xdr:rowOff>0</xdr:rowOff>
        </xdr:to>
        <xdr:sp macro="" textlink="">
          <xdr:nvSpPr>
            <xdr:cNvPr id="25601" name="Spinner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0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68580</xdr:colOff>
      <xdr:row>1</xdr:row>
      <xdr:rowOff>716280</xdr:rowOff>
    </xdr:from>
    <xdr:to>
      <xdr:col>0</xdr:col>
      <xdr:colOff>944880</xdr:colOff>
      <xdr:row>2</xdr:row>
      <xdr:rowOff>609600</xdr:rowOff>
    </xdr:to>
    <xdr:sp macro="[0]!ferme_ongletT1" textlink="">
      <xdr:nvSpPr>
        <xdr:cNvPr id="3376" name="Ellipse 1">
          <a:extLst>
            <a:ext uri="{FF2B5EF4-FFF2-40B4-BE49-F238E27FC236}">
              <a16:creationId xmlns:a16="http://schemas.microsoft.com/office/drawing/2014/main" id="{00000000-0008-0000-0100-0000300D0000}"/>
            </a:ext>
          </a:extLst>
        </xdr:cNvPr>
        <xdr:cNvSpPr>
          <a:spLocks noChangeArrowheads="1"/>
        </xdr:cNvSpPr>
      </xdr:nvSpPr>
      <xdr:spPr bwMode="auto">
        <a:xfrm>
          <a:off x="68580" y="1478280"/>
          <a:ext cx="876300" cy="655320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1097280</xdr:colOff>
      <xdr:row>0</xdr:row>
      <xdr:rowOff>142875</xdr:rowOff>
    </xdr:from>
    <xdr:to>
      <xdr:col>5</xdr:col>
      <xdr:colOff>57224</xdr:colOff>
      <xdr:row>0</xdr:row>
      <xdr:rowOff>600075</xdr:rowOff>
    </xdr:to>
    <xdr:sp macro="[0]!effaceT1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4162425" y="142875"/>
          <a:ext cx="1495425" cy="457200"/>
        </a:xfrm>
        <a:prstGeom prst="rect">
          <a:avLst/>
        </a:prstGeom>
        <a:solidFill>
          <a:srgbClr val="92D05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fr-FR" sz="1400" b="1"/>
            <a:t>Effacer </a:t>
          </a:r>
        </a:p>
        <a:p>
          <a:pPr algn="ctr"/>
          <a:r>
            <a:rPr lang="fr-FR" sz="1400" b="1"/>
            <a:t>composition</a:t>
          </a:r>
        </a:p>
      </xdr:txBody>
    </xdr:sp>
    <xdr:clientData/>
  </xdr:twoCellAnchor>
  <xdr:oneCellAnchor>
    <xdr:from>
      <xdr:col>0</xdr:col>
      <xdr:colOff>226695</xdr:colOff>
      <xdr:row>2</xdr:row>
      <xdr:rowOff>142875</xdr:rowOff>
    </xdr:from>
    <xdr:ext cx="606576" cy="264560"/>
    <xdr:sp macro="[0]!ferme_ongletT1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226695" y="1666875"/>
          <a:ext cx="6065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 b="1"/>
            <a:t>Fermer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121920</xdr:rowOff>
    </xdr:from>
    <xdr:to>
      <xdr:col>0</xdr:col>
      <xdr:colOff>944880</xdr:colOff>
      <xdr:row>2</xdr:row>
      <xdr:rowOff>662940</xdr:rowOff>
    </xdr:to>
    <xdr:sp macro="[0]!ferme_ongletT2" textlink="">
      <xdr:nvSpPr>
        <xdr:cNvPr id="5424" name="Ellipse 1">
          <a:extLst>
            <a:ext uri="{FF2B5EF4-FFF2-40B4-BE49-F238E27FC236}">
              <a16:creationId xmlns:a16="http://schemas.microsoft.com/office/drawing/2014/main" id="{00000000-0008-0000-0200-000030150000}"/>
            </a:ext>
          </a:extLst>
        </xdr:cNvPr>
        <xdr:cNvSpPr>
          <a:spLocks noChangeArrowheads="1"/>
        </xdr:cNvSpPr>
      </xdr:nvSpPr>
      <xdr:spPr bwMode="auto">
        <a:xfrm>
          <a:off x="0" y="1645920"/>
          <a:ext cx="944880" cy="541020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900816</xdr:colOff>
      <xdr:row>0</xdr:row>
      <xdr:rowOff>132522</xdr:rowOff>
    </xdr:from>
    <xdr:to>
      <xdr:col>5</xdr:col>
      <xdr:colOff>173223</xdr:colOff>
      <xdr:row>0</xdr:row>
      <xdr:rowOff>621196</xdr:rowOff>
    </xdr:to>
    <xdr:sp macro="[0]!effaceT2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975652" y="132522"/>
          <a:ext cx="1308652" cy="488674"/>
        </a:xfrm>
        <a:prstGeom prst="rect">
          <a:avLst/>
        </a:prstGeom>
        <a:solidFill>
          <a:srgbClr val="92D05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fr-FR" sz="1400" b="1"/>
            <a:t>Effacer </a:t>
          </a:r>
        </a:p>
        <a:p>
          <a:pPr algn="ctr"/>
          <a:r>
            <a:rPr lang="fr-FR" sz="1400" b="1"/>
            <a:t>composition</a:t>
          </a:r>
        </a:p>
      </xdr:txBody>
    </xdr:sp>
    <xdr:clientData/>
  </xdr:twoCellAnchor>
  <xdr:oneCellAnchor>
    <xdr:from>
      <xdr:col>0</xdr:col>
      <xdr:colOff>182215</xdr:colOff>
      <xdr:row>2</xdr:row>
      <xdr:rowOff>256761</xdr:rowOff>
    </xdr:from>
    <xdr:ext cx="606576" cy="264560"/>
    <xdr:sp macro="[0]!ferme_ongletT2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82215" y="1780761"/>
          <a:ext cx="6065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fr-FR" sz="1100" b="1"/>
            <a:t>Fermer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1003935</xdr:colOff>
      <xdr:row>0</xdr:row>
      <xdr:rowOff>123825</xdr:rowOff>
    </xdr:from>
    <xdr:to>
      <xdr:col>4</xdr:col>
      <xdr:colOff>1588744</xdr:colOff>
      <xdr:row>0</xdr:row>
      <xdr:rowOff>685800</xdr:rowOff>
    </xdr:to>
    <xdr:sp macro="[0]!effaceT3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 bwMode="auto">
        <a:xfrm>
          <a:off x="4076700" y="123825"/>
          <a:ext cx="1628775" cy="561975"/>
        </a:xfrm>
        <a:prstGeom prst="rect">
          <a:avLst/>
        </a:prstGeom>
        <a:solidFill>
          <a:srgbClr val="92D05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txBody>
        <a:bodyPr vertOverflow="clip" horzOverflow="clip" wrap="square" lIns="18288" tIns="0" rIns="0" bIns="0" rtlCol="0" anchor="t" upright="1"/>
        <a:lstStyle/>
        <a:p>
          <a:pPr algn="ctr"/>
          <a:r>
            <a:rPr lang="fr-FR" sz="1400" b="1"/>
            <a:t>Effacer</a:t>
          </a:r>
        </a:p>
        <a:p>
          <a:pPr algn="ctr"/>
          <a:r>
            <a:rPr lang="fr-FR" sz="1400" b="1"/>
            <a:t>composition</a:t>
          </a:r>
        </a:p>
      </xdr:txBody>
    </xdr:sp>
    <xdr:clientData/>
  </xdr:twoCellAnchor>
  <xdr:twoCellAnchor>
    <xdr:from>
      <xdr:col>0</xdr:col>
      <xdr:colOff>60960</xdr:colOff>
      <xdr:row>2</xdr:row>
      <xdr:rowOff>160020</xdr:rowOff>
    </xdr:from>
    <xdr:to>
      <xdr:col>0</xdr:col>
      <xdr:colOff>944880</xdr:colOff>
      <xdr:row>3</xdr:row>
      <xdr:rowOff>0</xdr:rowOff>
    </xdr:to>
    <xdr:grpSp>
      <xdr:nvGrpSpPr>
        <xdr:cNvPr id="6509" name="Groupe 3">
          <a:extLst>
            <a:ext uri="{FF2B5EF4-FFF2-40B4-BE49-F238E27FC236}">
              <a16:creationId xmlns:a16="http://schemas.microsoft.com/office/drawing/2014/main" id="{00000000-0008-0000-0300-00006D190000}"/>
            </a:ext>
          </a:extLst>
        </xdr:cNvPr>
        <xdr:cNvGrpSpPr>
          <a:grpSpLocks/>
        </xdr:cNvGrpSpPr>
      </xdr:nvGrpSpPr>
      <xdr:grpSpPr bwMode="auto">
        <a:xfrm>
          <a:off x="60960" y="1684020"/>
          <a:ext cx="883920" cy="601980"/>
          <a:chOff x="57151" y="1685925"/>
          <a:chExt cx="866774" cy="600075"/>
        </a:xfrm>
      </xdr:grpSpPr>
      <xdr:sp macro="[0]!ferme_ongletT3" textlink="">
        <xdr:nvSpPr>
          <xdr:cNvPr id="6510" name="Ellipse 1">
            <a:extLst>
              <a:ext uri="{FF2B5EF4-FFF2-40B4-BE49-F238E27FC236}">
                <a16:creationId xmlns:a16="http://schemas.microsoft.com/office/drawing/2014/main" id="{00000000-0008-0000-0300-00006E190000}"/>
              </a:ext>
            </a:extLst>
          </xdr:cNvPr>
          <xdr:cNvSpPr>
            <a:spLocks noChangeArrowheads="1"/>
          </xdr:cNvSpPr>
        </xdr:nvSpPr>
        <xdr:spPr bwMode="auto">
          <a:xfrm>
            <a:off x="57151" y="1685925"/>
            <a:ext cx="866774" cy="600075"/>
          </a:xfrm>
          <a:prstGeom prst="ellipse">
            <a:avLst/>
          </a:prstGeom>
          <a:solidFill>
            <a:srgbClr val="FF0000"/>
          </a:solidFill>
          <a:ln w="9525" algn="ctr">
            <a:solidFill>
              <a:srgbClr val="000000"/>
            </a:solidFill>
            <a:round/>
            <a:headEnd/>
            <a:tailEnd/>
          </a:ln>
        </xdr:spPr>
      </xdr:sp>
      <xdr:sp macro="[0]!ferme_ongletT3" textlink="">
        <xdr:nvSpPr>
          <xdr:cNvPr id="3" name="ZoneText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 txBox="1"/>
        </xdr:nvSpPr>
        <xdr:spPr>
          <a:xfrm>
            <a:off x="221539" y="1868226"/>
            <a:ext cx="594810" cy="2637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fr-FR" sz="1100" b="1"/>
              <a:t>Fermer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180974</xdr:colOff>
      <xdr:row>1</xdr:row>
      <xdr:rowOff>0</xdr:rowOff>
    </xdr:from>
    <xdr:to>
      <xdr:col>4</xdr:col>
      <xdr:colOff>129571</xdr:colOff>
      <xdr:row>3</xdr:row>
      <xdr:rowOff>120024</xdr:rowOff>
    </xdr:to>
    <xdr:sp macro="[0]!ferme_ongletT4" textlink="">
      <xdr:nvSpPr>
        <xdr:cNvPr id="2" name="Ellips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942974" y="161925"/>
          <a:ext cx="1895475" cy="438150"/>
        </a:xfrm>
        <a:prstGeom prst="ellipse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l"/>
          <a:r>
            <a:rPr lang="fr-FR" sz="1100"/>
            <a:t>Fermer Pool arbitres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0</xdr:row>
          <xdr:rowOff>257175</xdr:rowOff>
        </xdr:from>
        <xdr:to>
          <xdr:col>4</xdr:col>
          <xdr:colOff>57150</xdr:colOff>
          <xdr:row>1</xdr:row>
          <xdr:rowOff>266700</xdr:rowOff>
        </xdr:to>
        <xdr:sp macro="" textlink="">
          <xdr:nvSpPr>
            <xdr:cNvPr id="18436" name="Drop Dow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6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2</xdr:row>
          <xdr:rowOff>85725</xdr:rowOff>
        </xdr:from>
        <xdr:to>
          <xdr:col>4</xdr:col>
          <xdr:colOff>47625</xdr:colOff>
          <xdr:row>3</xdr:row>
          <xdr:rowOff>76200</xdr:rowOff>
        </xdr:to>
        <xdr:sp macro="" textlink="">
          <xdr:nvSpPr>
            <xdr:cNvPr id="18437" name="Drop Dow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6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0</xdr:row>
          <xdr:rowOff>257175</xdr:rowOff>
        </xdr:from>
        <xdr:to>
          <xdr:col>4</xdr:col>
          <xdr:colOff>57150</xdr:colOff>
          <xdr:row>1</xdr:row>
          <xdr:rowOff>266700</xdr:rowOff>
        </xdr:to>
        <xdr:sp macro="" textlink="">
          <xdr:nvSpPr>
            <xdr:cNvPr id="24577" name="Drop Dow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7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190500</xdr:colOff>
          <xdr:row>2</xdr:row>
          <xdr:rowOff>85725</xdr:rowOff>
        </xdr:from>
        <xdr:to>
          <xdr:col>4</xdr:col>
          <xdr:colOff>47625</xdr:colOff>
          <xdr:row>4</xdr:row>
          <xdr:rowOff>19050</xdr:rowOff>
        </xdr:to>
        <xdr:sp macro="" textlink="">
          <xdr:nvSpPr>
            <xdr:cNvPr id="24578" name="Drop Dow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7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</xdr:row>
          <xdr:rowOff>66675</xdr:rowOff>
        </xdr:from>
        <xdr:to>
          <xdr:col>2</xdr:col>
          <xdr:colOff>1104900</xdr:colOff>
          <xdr:row>4</xdr:row>
          <xdr:rowOff>257175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5</xdr:row>
          <xdr:rowOff>0</xdr:rowOff>
        </xdr:from>
        <xdr:to>
          <xdr:col>2</xdr:col>
          <xdr:colOff>1095375</xdr:colOff>
          <xdr:row>5</xdr:row>
          <xdr:rowOff>257175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  <a:ext uri="{FF2B5EF4-FFF2-40B4-BE49-F238E27FC236}">
                  <a16:creationId xmlns:a16="http://schemas.microsoft.com/office/drawing/2014/main" id="{00000000-0008-0000-0800-00000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</xdr:row>
          <xdr:rowOff>47625</xdr:rowOff>
        </xdr:from>
        <xdr:to>
          <xdr:col>2</xdr:col>
          <xdr:colOff>809625</xdr:colOff>
          <xdr:row>4</xdr:row>
          <xdr:rowOff>152400</xdr:rowOff>
        </xdr:to>
        <xdr:sp macro="" textlink="">
          <xdr:nvSpPr>
            <xdr:cNvPr id="20481" name="Drop Dow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9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4</xdr:row>
          <xdr:rowOff>285750</xdr:rowOff>
        </xdr:from>
        <xdr:to>
          <xdr:col>2</xdr:col>
          <xdr:colOff>790575</xdr:colOff>
          <xdr:row>5</xdr:row>
          <xdr:rowOff>238125</xdr:rowOff>
        </xdr:to>
        <xdr:sp macro="" textlink="">
          <xdr:nvSpPr>
            <xdr:cNvPr id="20482" name="Drop Dow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9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3</xdr:row>
          <xdr:rowOff>66675</xdr:rowOff>
        </xdr:from>
        <xdr:to>
          <xdr:col>2</xdr:col>
          <xdr:colOff>1104900</xdr:colOff>
          <xdr:row>4</xdr:row>
          <xdr:rowOff>266700</xdr:rowOff>
        </xdr:to>
        <xdr:sp macro="" textlink="">
          <xdr:nvSpPr>
            <xdr:cNvPr id="23553" name="Drop Dow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A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190500</xdr:colOff>
          <xdr:row>5</xdr:row>
          <xdr:rowOff>9525</xdr:rowOff>
        </xdr:from>
        <xdr:to>
          <xdr:col>2</xdr:col>
          <xdr:colOff>1095375</xdr:colOff>
          <xdr:row>5</xdr:row>
          <xdr:rowOff>257175</xdr:rowOff>
        </xdr:to>
        <xdr:sp macro="" textlink="">
          <xdr:nvSpPr>
            <xdr:cNvPr id="23554" name="Drop Dow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3</xdr:row>
          <xdr:rowOff>371475</xdr:rowOff>
        </xdr:from>
        <xdr:to>
          <xdr:col>18</xdr:col>
          <xdr:colOff>9525</xdr:colOff>
          <xdr:row>5</xdr:row>
          <xdr:rowOff>57150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B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</xdr:row>
          <xdr:rowOff>0</xdr:rowOff>
        </xdr:from>
        <xdr:to>
          <xdr:col>18</xdr:col>
          <xdr:colOff>57150</xdr:colOff>
          <xdr:row>12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B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Poule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</xdr:row>
          <xdr:rowOff>0</xdr:rowOff>
        </xdr:from>
        <xdr:to>
          <xdr:col>18</xdr:col>
          <xdr:colOff>57150</xdr:colOff>
          <xdr:row>14</xdr:row>
          <xdr:rowOff>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B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Poule 3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0</xdr:rowOff>
        </xdr:from>
        <xdr:to>
          <xdr:col>18</xdr:col>
          <xdr:colOff>9525</xdr:colOff>
          <xdr:row>5</xdr:row>
          <xdr:rowOff>57150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C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19050</xdr:colOff>
          <xdr:row>11</xdr:row>
          <xdr:rowOff>219075</xdr:rowOff>
        </xdr:from>
        <xdr:to>
          <xdr:col>18</xdr:col>
          <xdr:colOff>95250</xdr:colOff>
          <xdr:row>12</xdr:row>
          <xdr:rowOff>219075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C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Poule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</xdr:row>
          <xdr:rowOff>0</xdr:rowOff>
        </xdr:from>
        <xdr:to>
          <xdr:col>18</xdr:col>
          <xdr:colOff>57150</xdr:colOff>
          <xdr:row>15</xdr:row>
          <xdr:rowOff>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C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Poule 3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4</xdr:row>
          <xdr:rowOff>9525</xdr:rowOff>
        </xdr:from>
        <xdr:to>
          <xdr:col>18</xdr:col>
          <xdr:colOff>0</xdr:colOff>
          <xdr:row>5</xdr:row>
          <xdr:rowOff>76200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D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Efface score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18</xdr:col>
          <xdr:colOff>57150</xdr:colOff>
          <xdr:row>13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D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Poule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</xdr:row>
          <xdr:rowOff>0</xdr:rowOff>
        </xdr:from>
        <xdr:to>
          <xdr:col>18</xdr:col>
          <xdr:colOff>57150</xdr:colOff>
          <xdr:row>15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D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Poule 2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11</xdr:row>
      <xdr:rowOff>167005</xdr:rowOff>
    </xdr:from>
    <xdr:to>
      <xdr:col>2</xdr:col>
      <xdr:colOff>373376</xdr:colOff>
      <xdr:row>14</xdr:row>
      <xdr:rowOff>79375</xdr:rowOff>
    </xdr:to>
    <xdr:sp macro="" textlink="">
      <xdr:nvSpPr>
        <xdr:cNvPr id="1029" name="Text Box 5">
          <a:extLst>
            <a:ext uri="{FF2B5EF4-FFF2-40B4-BE49-F238E27FC236}">
              <a16:creationId xmlns:a16="http://schemas.microsoft.com/office/drawing/2014/main" id="{00000000-0008-0000-1100-000005040000}"/>
            </a:ext>
          </a:extLst>
        </xdr:cNvPr>
        <xdr:cNvSpPr txBox="1">
          <a:spLocks noChangeArrowheads="1"/>
        </xdr:cNvSpPr>
      </xdr:nvSpPr>
      <xdr:spPr bwMode="auto">
        <a:xfrm>
          <a:off x="66675" y="3508375"/>
          <a:ext cx="2314575" cy="5619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Avant d'imprimer :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compléter au clavier pour prendre en compte les ex aequos</a:t>
          </a:r>
        </a:p>
      </xdr:txBody>
    </xdr:sp>
    <xdr:clientData fPrintsWithSheet="0"/>
  </xdr:twoCellAnchor>
  <xdr:twoCellAnchor>
    <xdr:from>
      <xdr:col>9</xdr:col>
      <xdr:colOff>133350</xdr:colOff>
      <xdr:row>11</xdr:row>
      <xdr:rowOff>76200</xdr:rowOff>
    </xdr:from>
    <xdr:to>
      <xdr:col>10</xdr:col>
      <xdr:colOff>708728</xdr:colOff>
      <xdr:row>13</xdr:row>
      <xdr:rowOff>9525</xdr:rowOff>
    </xdr:to>
    <xdr:sp macro="[0]!P1_apresEgal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 bwMode="auto">
        <a:xfrm>
          <a:off x="6734175" y="3743325"/>
          <a:ext cx="1323975" cy="257175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fr-FR" sz="1100"/>
            <a:t>Tri après égalité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10</xdr:col>
      <xdr:colOff>9525</xdr:colOff>
      <xdr:row>3</xdr:row>
      <xdr:rowOff>0</xdr:rowOff>
    </xdr:to>
    <xdr:sp macro="" textlink="">
      <xdr:nvSpPr>
        <xdr:cNvPr id="8" name="Rectangle à coins arrondis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 bwMode="auto">
        <a:xfrm>
          <a:off x="6524625" y="504825"/>
          <a:ext cx="723900" cy="495300"/>
        </a:xfrm>
        <a:prstGeom prst="roundRect">
          <a:avLst/>
        </a:prstGeom>
        <a:noFill/>
        <a:ln>
          <a:solidFill>
            <a:schemeClr val="tx1"/>
          </a:solidFill>
          <a:headEnd type="none" w="med" len="med"/>
          <a:tailEnd type="none" w="med" len="med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endParaRPr lang="fr-FR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10</xdr:row>
          <xdr:rowOff>133350</xdr:rowOff>
        </xdr:from>
        <xdr:to>
          <xdr:col>5</xdr:col>
          <xdr:colOff>685800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1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afficher le 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1171575</xdr:colOff>
          <xdr:row>10</xdr:row>
          <xdr:rowOff>142875</xdr:rowOff>
        </xdr:from>
        <xdr:to>
          <xdr:col>3</xdr:col>
          <xdr:colOff>381000</xdr:colOff>
          <xdr:row>11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1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effacer le tableau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11</xdr:row>
          <xdr:rowOff>161925</xdr:rowOff>
        </xdr:from>
        <xdr:to>
          <xdr:col>5</xdr:col>
          <xdr:colOff>266700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1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 m p r i m e r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73025</xdr:colOff>
      <xdr:row>11</xdr:row>
      <xdr:rowOff>142875</xdr:rowOff>
    </xdr:from>
    <xdr:to>
      <xdr:col>2</xdr:col>
      <xdr:colOff>379734</xdr:colOff>
      <xdr:row>14</xdr:row>
      <xdr:rowOff>47625</xdr:rowOff>
    </xdr:to>
    <xdr:sp macro="" textlink="">
      <xdr:nvSpPr>
        <xdr:cNvPr id="2" name="Text Box 5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 txBox="1">
          <a:spLocks noChangeArrowheads="1"/>
        </xdr:cNvSpPr>
      </xdr:nvSpPr>
      <xdr:spPr bwMode="auto">
        <a:xfrm>
          <a:off x="73025" y="3476625"/>
          <a:ext cx="2314575" cy="5619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Avant d'imprimer :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compléter au clavier pour prendre en compte les ex aequos</a:t>
          </a:r>
        </a:p>
      </xdr:txBody>
    </xdr:sp>
    <xdr:clientData fPrintsWithSheet="0"/>
  </xdr:twoCellAnchor>
  <xdr:twoCellAnchor>
    <xdr:from>
      <xdr:col>9</xdr:col>
      <xdr:colOff>142875</xdr:colOff>
      <xdr:row>11</xdr:row>
      <xdr:rowOff>38100</xdr:rowOff>
    </xdr:from>
    <xdr:to>
      <xdr:col>11</xdr:col>
      <xdr:colOff>1973</xdr:colOff>
      <xdr:row>12</xdr:row>
      <xdr:rowOff>133350</xdr:rowOff>
    </xdr:to>
    <xdr:sp macro="[0]!P2_apresEgal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 bwMode="auto">
        <a:xfrm>
          <a:off x="6743700" y="3705225"/>
          <a:ext cx="1323975" cy="257175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fr-FR" sz="1100"/>
            <a:t>Tri après égalité</a:t>
          </a:r>
        </a:p>
      </xdr:txBody>
    </xdr:sp>
    <xdr:clientData/>
  </xdr:twoCellAnchor>
  <xdr:twoCellAnchor>
    <xdr:from>
      <xdr:col>9</xdr:col>
      <xdr:colOff>1</xdr:colOff>
      <xdr:row>2</xdr:row>
      <xdr:rowOff>0</xdr:rowOff>
    </xdr:from>
    <xdr:to>
      <xdr:col>10</xdr:col>
      <xdr:colOff>9526</xdr:colOff>
      <xdr:row>3</xdr:row>
      <xdr:rowOff>0</xdr:rowOff>
    </xdr:to>
    <xdr:sp macro="" textlink="">
      <xdr:nvSpPr>
        <xdr:cNvPr id="7" name="Rectangle à coins arrondis 6"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 bwMode="auto">
        <a:xfrm>
          <a:off x="6600826" y="504825"/>
          <a:ext cx="723900" cy="495300"/>
        </a:xfrm>
        <a:prstGeom prst="roundRect">
          <a:avLst/>
        </a:prstGeom>
        <a:noFill/>
        <a:ln>
          <a:solidFill>
            <a:schemeClr val="tx1"/>
          </a:solidFill>
          <a:headEnd type="none" w="med" len="med"/>
          <a:tailEnd type="none" w="med" len="med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endParaRPr lang="fr-FR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10</xdr:row>
          <xdr:rowOff>133350</xdr:rowOff>
        </xdr:from>
        <xdr:to>
          <xdr:col>5</xdr:col>
          <xdr:colOff>685800</xdr:colOff>
          <xdr:row>11</xdr:row>
          <xdr:rowOff>19050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1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afficher le 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1171575</xdr:colOff>
          <xdr:row>10</xdr:row>
          <xdr:rowOff>142875</xdr:rowOff>
        </xdr:from>
        <xdr:to>
          <xdr:col>3</xdr:col>
          <xdr:colOff>381000</xdr:colOff>
          <xdr:row>11</xdr:row>
          <xdr:rowOff>28575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1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effacer le tableau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11</xdr:row>
          <xdr:rowOff>161925</xdr:rowOff>
        </xdr:from>
        <xdr:to>
          <xdr:col>5</xdr:col>
          <xdr:colOff>266700</xdr:colOff>
          <xdr:row>14</xdr:row>
          <xdr:rowOff>38100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1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 m p r i m e r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118110</xdr:colOff>
      <xdr:row>11</xdr:row>
      <xdr:rowOff>156845</xdr:rowOff>
    </xdr:from>
    <xdr:to>
      <xdr:col>2</xdr:col>
      <xdr:colOff>445771</xdr:colOff>
      <xdr:row>14</xdr:row>
      <xdr:rowOff>44413</xdr:rowOff>
    </xdr:to>
    <xdr:sp macro="" textlink="">
      <xdr:nvSpPr>
        <xdr:cNvPr id="2" name="Text Box 5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SpPr txBox="1">
          <a:spLocks noChangeArrowheads="1"/>
        </xdr:cNvSpPr>
      </xdr:nvSpPr>
      <xdr:spPr bwMode="auto">
        <a:xfrm>
          <a:off x="123825" y="3482975"/>
          <a:ext cx="2314575" cy="5619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Avant d'imprimer :</a:t>
          </a:r>
        </a:p>
        <a:p>
          <a:pPr algn="l" rtl="0">
            <a:defRPr sz="1000"/>
          </a:pPr>
          <a:r>
            <a:rPr lang="fr-FR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compléter au clavier pour prendre en compte les ex aequos</a:t>
          </a:r>
        </a:p>
      </xdr:txBody>
    </xdr:sp>
    <xdr:clientData fPrintsWithSheet="0"/>
  </xdr:twoCellAnchor>
  <xdr:oneCellAnchor>
    <xdr:from>
      <xdr:col>7</xdr:col>
      <xdr:colOff>160020</xdr:colOff>
      <xdr:row>13</xdr:row>
      <xdr:rowOff>57150</xdr:rowOff>
    </xdr:from>
    <xdr:ext cx="184731" cy="272119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 txBox="1"/>
      </xdr:nvSpPr>
      <xdr:spPr>
        <a:xfrm>
          <a:off x="5124450" y="40481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FR"/>
        </a:p>
      </xdr:txBody>
    </xdr:sp>
    <xdr:clientData/>
  </xdr:oneCellAnchor>
  <xdr:twoCellAnchor>
    <xdr:from>
      <xdr:col>9</xdr:col>
      <xdr:colOff>114300</xdr:colOff>
      <xdr:row>11</xdr:row>
      <xdr:rowOff>38100</xdr:rowOff>
    </xdr:from>
    <xdr:to>
      <xdr:col>10</xdr:col>
      <xdr:colOff>681945</xdr:colOff>
      <xdr:row>12</xdr:row>
      <xdr:rowOff>133350</xdr:rowOff>
    </xdr:to>
    <xdr:sp macro="[0]!P3_apresEgal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 bwMode="auto">
        <a:xfrm>
          <a:off x="6515100" y="3705225"/>
          <a:ext cx="1323975" cy="257175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lang="fr-FR" sz="1100"/>
            <a:t>Tri après égalité</a:t>
          </a:r>
        </a:p>
      </xdr:txBody>
    </xdr:sp>
    <xdr:clientData/>
  </xdr:twoCellAnchor>
  <xdr:twoCellAnchor>
    <xdr:from>
      <xdr:col>9</xdr:col>
      <xdr:colOff>0</xdr:colOff>
      <xdr:row>2</xdr:row>
      <xdr:rowOff>0</xdr:rowOff>
    </xdr:from>
    <xdr:to>
      <xdr:col>10</xdr:col>
      <xdr:colOff>0</xdr:colOff>
      <xdr:row>3</xdr:row>
      <xdr:rowOff>0</xdr:rowOff>
    </xdr:to>
    <xdr:sp macro="" textlink="">
      <xdr:nvSpPr>
        <xdr:cNvPr id="4" name="Rectangle à coins arrondis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SpPr/>
      </xdr:nvSpPr>
      <xdr:spPr bwMode="auto">
        <a:xfrm>
          <a:off x="6400800" y="504825"/>
          <a:ext cx="771525" cy="495300"/>
        </a:xfrm>
        <a:prstGeom prst="roundRect">
          <a:avLst/>
        </a:prstGeom>
        <a:noFill/>
        <a:ln>
          <a:solidFill>
            <a:schemeClr val="tx1"/>
          </a:solidFill>
          <a:headEnd type="none" w="med" len="med"/>
          <a:tailEnd type="none" w="med" len="med"/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endParaRPr lang="fr-FR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10</xdr:row>
          <xdr:rowOff>133350</xdr:rowOff>
        </xdr:from>
        <xdr:to>
          <xdr:col>5</xdr:col>
          <xdr:colOff>685800</xdr:colOff>
          <xdr:row>11</xdr:row>
          <xdr:rowOff>19050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1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afficher le 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1171575</xdr:colOff>
          <xdr:row>10</xdr:row>
          <xdr:rowOff>142875</xdr:rowOff>
        </xdr:from>
        <xdr:to>
          <xdr:col>3</xdr:col>
          <xdr:colOff>381000</xdr:colOff>
          <xdr:row>11</xdr:row>
          <xdr:rowOff>28575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effacer le tableau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476250</xdr:colOff>
          <xdr:row>11</xdr:row>
          <xdr:rowOff>161925</xdr:rowOff>
        </xdr:from>
        <xdr:to>
          <xdr:col>5</xdr:col>
          <xdr:colOff>266700</xdr:colOff>
          <xdr:row>14</xdr:row>
          <xdr:rowOff>38100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 m p r i m e r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1043940</xdr:colOff>
      <xdr:row>20</xdr:row>
      <xdr:rowOff>167640</xdr:rowOff>
    </xdr:from>
    <xdr:to>
      <xdr:col>5</xdr:col>
      <xdr:colOff>121920</xdr:colOff>
      <xdr:row>24</xdr:row>
      <xdr:rowOff>129540</xdr:rowOff>
    </xdr:to>
    <xdr:grpSp>
      <xdr:nvGrpSpPr>
        <xdr:cNvPr id="17895" name="Groupe 10">
          <a:extLst>
            <a:ext uri="{FF2B5EF4-FFF2-40B4-BE49-F238E27FC236}">
              <a16:creationId xmlns:a16="http://schemas.microsoft.com/office/drawing/2014/main" id="{00000000-0008-0000-1400-0000E7450000}"/>
            </a:ext>
          </a:extLst>
        </xdr:cNvPr>
        <xdr:cNvGrpSpPr>
          <a:grpSpLocks/>
        </xdr:cNvGrpSpPr>
      </xdr:nvGrpSpPr>
      <xdr:grpSpPr bwMode="auto">
        <a:xfrm>
          <a:off x="2682240" y="4415790"/>
          <a:ext cx="1640205" cy="876300"/>
          <a:chOff x="2476500" y="4676775"/>
          <a:chExt cx="1838325" cy="876300"/>
        </a:xfrm>
      </xdr:grpSpPr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CxnSpPr/>
        </xdr:nvCxnSpPr>
        <xdr:spPr bwMode="auto">
          <a:xfrm flipV="1">
            <a:off x="2476500" y="4676775"/>
            <a:ext cx="1838325" cy="457886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Connecteur droit 7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CxnSpPr/>
        </xdr:nvCxnSpPr>
        <xdr:spPr bwMode="auto">
          <a:xfrm>
            <a:off x="2476500" y="5134661"/>
            <a:ext cx="1838325" cy="418414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1013460</xdr:colOff>
      <xdr:row>20</xdr:row>
      <xdr:rowOff>137160</xdr:rowOff>
    </xdr:from>
    <xdr:to>
      <xdr:col>5</xdr:col>
      <xdr:colOff>160020</xdr:colOff>
      <xdr:row>24</xdr:row>
      <xdr:rowOff>99060</xdr:rowOff>
    </xdr:to>
    <xdr:grpSp>
      <xdr:nvGrpSpPr>
        <xdr:cNvPr id="17896" name="Groupe 11">
          <a:extLst>
            <a:ext uri="{FF2B5EF4-FFF2-40B4-BE49-F238E27FC236}">
              <a16:creationId xmlns:a16="http://schemas.microsoft.com/office/drawing/2014/main" id="{00000000-0008-0000-1400-0000E8450000}"/>
            </a:ext>
          </a:extLst>
        </xdr:cNvPr>
        <xdr:cNvGrpSpPr>
          <a:grpSpLocks/>
        </xdr:cNvGrpSpPr>
      </xdr:nvGrpSpPr>
      <xdr:grpSpPr bwMode="auto">
        <a:xfrm rot="10800000">
          <a:off x="2651760" y="4385310"/>
          <a:ext cx="1708785" cy="876300"/>
          <a:chOff x="2476500" y="4676775"/>
          <a:chExt cx="1838325" cy="876300"/>
        </a:xfrm>
      </xdr:grpSpPr>
      <xdr:cxnSp macro="">
        <xdr:nvCxnSpPr>
          <xdr:cNvPr id="13" name="Connecteur droit 12">
            <a:extLst>
              <a:ext uri="{FF2B5EF4-FFF2-40B4-BE49-F238E27FC236}">
                <a16:creationId xmlns:a16="http://schemas.microsoft.com/office/drawing/2014/main" id="{00000000-0008-0000-1400-00000D000000}"/>
              </a:ext>
            </a:extLst>
          </xdr:cNvPr>
          <xdr:cNvCxnSpPr/>
        </xdr:nvCxnSpPr>
        <xdr:spPr bwMode="auto">
          <a:xfrm flipV="1">
            <a:off x="2618517" y="4668880"/>
            <a:ext cx="1838325" cy="457886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14" name="Connecteur droit 13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CxnSpPr/>
        </xdr:nvCxnSpPr>
        <xdr:spPr bwMode="auto">
          <a:xfrm>
            <a:off x="2618517" y="5134661"/>
            <a:ext cx="1838325" cy="418414"/>
          </a:xfrm>
          <a:prstGeom prst="line">
            <a:avLst/>
          </a:prstGeom>
          <a:ln>
            <a:headEnd type="none" w="med" len="med"/>
            <a:tailEnd type="none" w="med" len="med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3</xdr:row>
      <xdr:rowOff>30480</xdr:rowOff>
    </xdr:from>
    <xdr:to>
      <xdr:col>21</xdr:col>
      <xdr:colOff>0</xdr:colOff>
      <xdr:row>10</xdr:row>
      <xdr:rowOff>7620</xdr:rowOff>
    </xdr:to>
    <xdr:sp macro="" textlink="">
      <xdr:nvSpPr>
        <xdr:cNvPr id="20140" name="Rectangle 3">
          <a:extLst>
            <a:ext uri="{FF2B5EF4-FFF2-40B4-BE49-F238E27FC236}">
              <a16:creationId xmlns:a16="http://schemas.microsoft.com/office/drawing/2014/main" id="{00000000-0008-0000-1600-0000AC4E0000}"/>
            </a:ext>
          </a:extLst>
        </xdr:cNvPr>
        <xdr:cNvSpPr>
          <a:spLocks noChangeArrowheads="1"/>
        </xdr:cNvSpPr>
      </xdr:nvSpPr>
      <xdr:spPr bwMode="auto">
        <a:xfrm>
          <a:off x="68580" y="822960"/>
          <a:ext cx="6736080" cy="1341120"/>
        </a:xfrm>
        <a:prstGeom prst="rect">
          <a:avLst/>
        </a:prstGeom>
        <a:noFill/>
        <a:ln w="3810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</xdr:col>
      <xdr:colOff>30480</xdr:colOff>
      <xdr:row>11</xdr:row>
      <xdr:rowOff>7620</xdr:rowOff>
    </xdr:from>
    <xdr:to>
      <xdr:col>21</xdr:col>
      <xdr:colOff>7620</xdr:colOff>
      <xdr:row>18</xdr:row>
      <xdr:rowOff>7620</xdr:rowOff>
    </xdr:to>
    <xdr:sp macro="" textlink="">
      <xdr:nvSpPr>
        <xdr:cNvPr id="20141" name="Rectangle 5">
          <a:extLst>
            <a:ext uri="{FF2B5EF4-FFF2-40B4-BE49-F238E27FC236}">
              <a16:creationId xmlns:a16="http://schemas.microsoft.com/office/drawing/2014/main" id="{00000000-0008-0000-1600-0000AD4E0000}"/>
            </a:ext>
          </a:extLst>
        </xdr:cNvPr>
        <xdr:cNvSpPr>
          <a:spLocks noChangeArrowheads="1"/>
        </xdr:cNvSpPr>
      </xdr:nvSpPr>
      <xdr:spPr bwMode="auto">
        <a:xfrm>
          <a:off x="91440" y="2331720"/>
          <a:ext cx="6720840" cy="1363980"/>
        </a:xfrm>
        <a:prstGeom prst="rect">
          <a:avLst/>
        </a:prstGeom>
        <a:noFill/>
        <a:ln w="3810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5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28.xml"/><Relationship Id="rId5" Type="http://schemas.openxmlformats.org/officeDocument/2006/relationships/ctrlProp" Target="../ctrlProps/ctrlProp27.xml"/><Relationship Id="rId4" Type="http://schemas.openxmlformats.org/officeDocument/2006/relationships/ctrlProp" Target="../ctrlProps/ctrlProp2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31.xml"/><Relationship Id="rId5" Type="http://schemas.openxmlformats.org/officeDocument/2006/relationships/ctrlProp" Target="../ctrlProps/ctrlProp30.xml"/><Relationship Id="rId4" Type="http://schemas.openxmlformats.org/officeDocument/2006/relationships/ctrlProp" Target="../ctrlProps/ctrlProp29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9"/>
  <dimension ref="B1:Y22"/>
  <sheetViews>
    <sheetView showGridLines="0" workbookViewId="0">
      <selection activeCell="C14" sqref="C14"/>
    </sheetView>
  </sheetViews>
  <sheetFormatPr baseColWidth="10" defaultRowHeight="12.75" x14ac:dyDescent="0.2"/>
  <cols>
    <col min="1" max="1" width="2.85546875" customWidth="1"/>
    <col min="2" max="2" width="5.140625" customWidth="1"/>
    <col min="5" max="5" width="3.42578125" customWidth="1"/>
    <col min="6" max="6" width="2.5703125" customWidth="1"/>
    <col min="9" max="9" width="6.28515625" customWidth="1"/>
    <col min="10" max="10" width="3.42578125" customWidth="1"/>
    <col min="11" max="11" width="2.42578125" customWidth="1"/>
    <col min="14" max="14" width="2.7109375" customWidth="1"/>
    <col min="15" max="15" width="2.42578125" customWidth="1"/>
    <col min="16" max="16" width="7.5703125" customWidth="1"/>
    <col min="17" max="17" width="13.140625" bestFit="1" customWidth="1"/>
    <col min="18" max="18" width="7.7109375" bestFit="1" customWidth="1"/>
    <col min="20" max="20" width="5.5703125" bestFit="1" customWidth="1"/>
    <col min="21" max="21" width="2.85546875" customWidth="1"/>
    <col min="22" max="22" width="8.140625" bestFit="1" customWidth="1"/>
    <col min="23" max="23" width="8.7109375" bestFit="1" customWidth="1"/>
    <col min="24" max="24" width="6.140625" bestFit="1" customWidth="1"/>
    <col min="25" max="25" width="8.7109375" bestFit="1" customWidth="1"/>
  </cols>
  <sheetData>
    <row r="1" spans="2:25" x14ac:dyDescent="0.2">
      <c r="S1" s="185"/>
      <c r="T1" s="185"/>
      <c r="U1" s="185"/>
      <c r="V1" s="384" t="s">
        <v>18</v>
      </c>
      <c r="W1" s="384"/>
      <c r="X1" s="384" t="s">
        <v>109</v>
      </c>
      <c r="Y1" s="384"/>
    </row>
    <row r="2" spans="2:25" x14ac:dyDescent="0.2">
      <c r="L2" s="1"/>
      <c r="S2" s="185"/>
      <c r="T2" s="185"/>
      <c r="U2" s="185"/>
      <c r="V2" s="192" t="s">
        <v>105</v>
      </c>
      <c r="W2" s="192" t="s">
        <v>106</v>
      </c>
      <c r="X2" s="192" t="s">
        <v>105</v>
      </c>
      <c r="Y2" s="192" t="s">
        <v>106</v>
      </c>
    </row>
    <row r="3" spans="2:25" x14ac:dyDescent="0.2">
      <c r="B3" s="180"/>
      <c r="C3" s="180"/>
      <c r="D3" s="180"/>
      <c r="E3" s="180"/>
      <c r="K3" s="181"/>
      <c r="L3" s="182"/>
      <c r="M3" s="181"/>
      <c r="N3" s="181"/>
      <c r="R3">
        <v>6</v>
      </c>
      <c r="S3" s="193" t="s">
        <v>103</v>
      </c>
      <c r="T3" s="194">
        <v>1.3888888888888888E-2</v>
      </c>
      <c r="U3" s="193"/>
      <c r="V3" s="195">
        <f>W6+T5</f>
        <v>0.66319444444444431</v>
      </c>
      <c r="W3" s="341">
        <f>V3+T3</f>
        <v>0.67708333333333315</v>
      </c>
      <c r="X3" s="196"/>
      <c r="Y3" s="196"/>
    </row>
    <row r="4" spans="2:25" ht="18.75" x14ac:dyDescent="0.3">
      <c r="B4" s="386" t="s">
        <v>118</v>
      </c>
      <c r="C4" s="386"/>
      <c r="D4" s="386"/>
      <c r="E4" s="386"/>
      <c r="G4" s="88"/>
      <c r="K4" s="387" t="s">
        <v>119</v>
      </c>
      <c r="L4" s="387"/>
      <c r="M4" s="387"/>
      <c r="N4" s="387"/>
      <c r="R4">
        <v>7</v>
      </c>
      <c r="S4" s="353"/>
      <c r="T4" s="353"/>
      <c r="U4" s="353"/>
      <c r="V4" s="354">
        <f>W7+T5</f>
        <v>0.66874999999999996</v>
      </c>
      <c r="W4" s="355">
        <f>V4+T3</f>
        <v>0.6826388888888888</v>
      </c>
    </row>
    <row r="5" spans="2:25" ht="15.75" x14ac:dyDescent="0.25">
      <c r="B5" s="180"/>
      <c r="C5" s="180"/>
      <c r="D5" s="180"/>
      <c r="E5" s="180"/>
      <c r="K5" s="181"/>
      <c r="L5" s="183" t="s">
        <v>120</v>
      </c>
      <c r="M5" s="183" t="s">
        <v>121</v>
      </c>
      <c r="N5" s="181"/>
      <c r="P5" s="327">
        <v>6.9444444444444441E-3</v>
      </c>
      <c r="Q5" s="185" t="s">
        <v>127</v>
      </c>
      <c r="S5" s="185" t="s">
        <v>126</v>
      </c>
      <c r="T5" s="338">
        <v>3.472222222222222E-3</v>
      </c>
      <c r="U5" s="185"/>
      <c r="V5" s="185"/>
      <c r="W5" s="185"/>
      <c r="X5" s="185"/>
      <c r="Y5" s="185"/>
    </row>
    <row r="6" spans="2:25" x14ac:dyDescent="0.2">
      <c r="B6" s="180"/>
      <c r="C6" s="385">
        <v>2022</v>
      </c>
      <c r="D6" s="385">
        <f>C6+1</f>
        <v>2023</v>
      </c>
      <c r="E6" s="180"/>
      <c r="I6" s="102">
        <v>1</v>
      </c>
      <c r="K6" s="181"/>
      <c r="L6" s="388">
        <v>12</v>
      </c>
      <c r="M6" s="388">
        <v>0</v>
      </c>
      <c r="N6" s="181"/>
      <c r="P6" s="360"/>
      <c r="Q6" s="185"/>
      <c r="R6">
        <v>6</v>
      </c>
      <c r="S6" s="198" t="s">
        <v>110</v>
      </c>
      <c r="T6" s="199">
        <f>P5</f>
        <v>6.9444444444444441E-3</v>
      </c>
      <c r="U6" s="198"/>
      <c r="V6" s="200">
        <f>W9+T8</f>
        <v>0.65277777777777768</v>
      </c>
      <c r="W6" s="342">
        <f>V6+T6</f>
        <v>0.6597222222222221</v>
      </c>
      <c r="X6" s="185"/>
      <c r="Y6" s="185"/>
    </row>
    <row r="7" spans="2:25" x14ac:dyDescent="0.2">
      <c r="B7" s="180"/>
      <c r="C7" s="385"/>
      <c r="D7" s="385"/>
      <c r="E7" s="180"/>
      <c r="I7" s="102" t="str">
        <f>IF($I$6=1,"Lycée","Tourrier")</f>
        <v>Lycée</v>
      </c>
      <c r="K7" s="181"/>
      <c r="L7" s="388"/>
      <c r="M7" s="388"/>
      <c r="N7" s="181"/>
      <c r="P7" s="192"/>
      <c r="Q7" s="185"/>
      <c r="R7">
        <v>7</v>
      </c>
      <c r="S7" s="56"/>
      <c r="T7" s="56"/>
      <c r="U7" s="56"/>
      <c r="V7" s="351">
        <f>W11+T8</f>
        <v>0.65833333333333333</v>
      </c>
      <c r="W7" s="352">
        <f>V7+P5</f>
        <v>0.66527777777777775</v>
      </c>
      <c r="X7" s="185"/>
      <c r="Y7" s="185"/>
    </row>
    <row r="8" spans="2:25" x14ac:dyDescent="0.2">
      <c r="B8" s="180"/>
      <c r="C8" s="385"/>
      <c r="D8" s="385"/>
      <c r="E8" s="180"/>
      <c r="K8" s="181"/>
      <c r="L8" s="388"/>
      <c r="M8" s="388"/>
      <c r="N8" s="181"/>
      <c r="P8" s="328" t="str">
        <f>L6&amp;":"&amp;M6</f>
        <v>12:0</v>
      </c>
      <c r="Q8" s="185" t="s">
        <v>128</v>
      </c>
      <c r="S8" s="185" t="s">
        <v>126</v>
      </c>
      <c r="T8" s="338">
        <v>3.472222222222222E-3</v>
      </c>
      <c r="U8" s="185"/>
      <c r="V8" s="185"/>
      <c r="W8" s="343"/>
      <c r="X8" s="185"/>
      <c r="Y8" s="185"/>
    </row>
    <row r="9" spans="2:25" x14ac:dyDescent="0.2">
      <c r="B9" s="180"/>
      <c r="C9" s="180"/>
      <c r="D9" s="180"/>
      <c r="E9" s="180"/>
      <c r="K9" s="181"/>
      <c r="L9" s="181"/>
      <c r="M9" s="181"/>
      <c r="N9" s="181"/>
      <c r="P9" s="1"/>
      <c r="R9">
        <v>6</v>
      </c>
      <c r="S9" s="201" t="s">
        <v>104</v>
      </c>
      <c r="T9" s="202">
        <f>P5*3</f>
        <v>2.0833333333333332E-2</v>
      </c>
      <c r="U9" s="201"/>
      <c r="V9" s="203">
        <f>W14+T10</f>
        <v>0.6284722222222221</v>
      </c>
      <c r="W9" s="344">
        <f>V9+T9</f>
        <v>0.64930555555555547</v>
      </c>
      <c r="X9" s="196"/>
      <c r="Y9" s="196"/>
    </row>
    <row r="10" spans="2:25" x14ac:dyDescent="0.2">
      <c r="P10" s="184"/>
      <c r="S10" s="337" t="s">
        <v>126</v>
      </c>
      <c r="T10" s="339">
        <v>1.3888888888888888E-2</v>
      </c>
      <c r="U10" s="201"/>
      <c r="V10" s="203"/>
      <c r="W10" s="344"/>
      <c r="X10" s="196"/>
      <c r="Y10" s="196"/>
    </row>
    <row r="11" spans="2:25" x14ac:dyDescent="0.2">
      <c r="B11" t="s">
        <v>129</v>
      </c>
      <c r="P11" s="178"/>
      <c r="R11">
        <v>7</v>
      </c>
      <c r="S11" s="330"/>
      <c r="T11" s="331">
        <f>P5*3</f>
        <v>2.0833333333333332E-2</v>
      </c>
      <c r="U11" s="330"/>
      <c r="V11" s="332">
        <f>W15+V12</f>
        <v>0.63402777777777775</v>
      </c>
      <c r="W11" s="345">
        <f>V11+T11</f>
        <v>0.65486111111111112</v>
      </c>
      <c r="X11" s="196"/>
      <c r="Y11" s="196"/>
    </row>
    <row r="12" spans="2:25" x14ac:dyDescent="0.2">
      <c r="B12" t="s">
        <v>130</v>
      </c>
      <c r="C12" s="102">
        <v>14</v>
      </c>
      <c r="R12" s="1">
        <v>6</v>
      </c>
      <c r="S12" s="334" t="s">
        <v>126</v>
      </c>
      <c r="T12" s="333"/>
      <c r="U12" s="330"/>
      <c r="V12" s="340">
        <v>5.5555555555555558E-3</v>
      </c>
      <c r="W12" s="346"/>
      <c r="X12" s="185"/>
      <c r="Y12" s="185"/>
    </row>
    <row r="13" spans="2:25" x14ac:dyDescent="0.2">
      <c r="B13" t="s">
        <v>131</v>
      </c>
      <c r="C13">
        <v>4</v>
      </c>
      <c r="R13" s="1">
        <v>7</v>
      </c>
      <c r="S13" s="185"/>
      <c r="T13" s="185"/>
      <c r="U13" s="185"/>
      <c r="V13" s="185"/>
      <c r="W13" s="343"/>
      <c r="X13" s="185"/>
      <c r="Y13" s="185"/>
    </row>
    <row r="14" spans="2:25" x14ac:dyDescent="0.2">
      <c r="M14" s="179"/>
      <c r="O14" s="178"/>
      <c r="S14" s="204" t="s">
        <v>107</v>
      </c>
      <c r="T14" s="205">
        <f>P5</f>
        <v>6.9444444444444441E-3</v>
      </c>
      <c r="U14" s="204"/>
      <c r="V14" s="206">
        <f>W18+T16</f>
        <v>0.60763888888888884</v>
      </c>
      <c r="W14" s="347">
        <f>V14+T14</f>
        <v>0.61458333333333326</v>
      </c>
      <c r="X14" s="206">
        <f>W17+X16</f>
        <v>0.59027777777777779</v>
      </c>
      <c r="Y14" s="207">
        <f>X14+T14</f>
        <v>0.59722222222222221</v>
      </c>
    </row>
    <row r="15" spans="2:25" x14ac:dyDescent="0.2">
      <c r="M15" s="179"/>
      <c r="O15" s="178"/>
      <c r="S15" s="204" t="s">
        <v>107</v>
      </c>
      <c r="T15" s="205">
        <f>P5</f>
        <v>6.9444444444444441E-3</v>
      </c>
      <c r="U15" s="204"/>
      <c r="V15" s="206">
        <f>W19+T16</f>
        <v>0.62152777777777779</v>
      </c>
      <c r="W15" s="347">
        <f>V15+T15</f>
        <v>0.62847222222222221</v>
      </c>
      <c r="X15" s="335"/>
      <c r="Y15" s="335"/>
    </row>
    <row r="16" spans="2:25" x14ac:dyDescent="0.2">
      <c r="M16" s="179"/>
      <c r="R16">
        <v>5</v>
      </c>
      <c r="S16" s="336" t="s">
        <v>126</v>
      </c>
      <c r="T16" s="338">
        <v>3.472222222222222E-3</v>
      </c>
      <c r="U16" s="185"/>
      <c r="V16" s="185"/>
      <c r="W16" s="343"/>
      <c r="X16" s="197">
        <v>6.9444444444444441E-3</v>
      </c>
      <c r="Y16" s="185"/>
    </row>
    <row r="17" spans="13:25" x14ac:dyDescent="0.2">
      <c r="M17" s="179"/>
      <c r="Q17" s="88" t="s">
        <v>191</v>
      </c>
      <c r="R17" s="209" t="s">
        <v>111</v>
      </c>
      <c r="S17" s="185" t="s">
        <v>108</v>
      </c>
      <c r="T17" s="197">
        <f>(10*P5)+(P5*2)</f>
        <v>8.3333333333333343E-2</v>
      </c>
      <c r="U17" s="185"/>
      <c r="V17" s="208" t="str">
        <f>P8</f>
        <v>12:0</v>
      </c>
      <c r="W17" s="348">
        <f>V17+T17</f>
        <v>0.58333333333333337</v>
      </c>
      <c r="X17" s="185"/>
      <c r="Y17" s="185"/>
    </row>
    <row r="18" spans="13:25" x14ac:dyDescent="0.2">
      <c r="M18" s="179"/>
      <c r="Q18" s="88" t="s">
        <v>189</v>
      </c>
      <c r="R18">
        <v>6</v>
      </c>
      <c r="S18" s="185" t="s">
        <v>188</v>
      </c>
      <c r="T18" s="197">
        <f>((R18*(R18-1))/2)*$P$5</f>
        <v>0.10416666666666666</v>
      </c>
      <c r="U18" s="185"/>
      <c r="V18" s="306" t="str">
        <f>P8</f>
        <v>12:0</v>
      </c>
      <c r="W18" s="349">
        <f>V18+T18</f>
        <v>0.60416666666666663</v>
      </c>
      <c r="X18" s="185"/>
      <c r="Y18" s="185"/>
    </row>
    <row r="19" spans="13:25" x14ac:dyDescent="0.2">
      <c r="Q19" s="88" t="s">
        <v>190</v>
      </c>
      <c r="R19">
        <v>7</v>
      </c>
      <c r="S19" s="185" t="s">
        <v>188</v>
      </c>
      <c r="T19" s="197">
        <f>T18+(2*P5)</f>
        <v>0.11805555555555555</v>
      </c>
      <c r="U19" s="185"/>
      <c r="V19" s="307" t="str">
        <f>P8</f>
        <v>12:0</v>
      </c>
      <c r="W19" s="350">
        <f>T19+V19</f>
        <v>0.61805555555555558</v>
      </c>
    </row>
    <row r="20" spans="13:25" x14ac:dyDescent="0.2">
      <c r="T20" s="305"/>
    </row>
    <row r="22" spans="13:25" x14ac:dyDescent="0.2">
      <c r="T22" s="329"/>
    </row>
  </sheetData>
  <mergeCells count="8">
    <mergeCell ref="V1:W1"/>
    <mergeCell ref="X1:Y1"/>
    <mergeCell ref="C6:C8"/>
    <mergeCell ref="D6:D8"/>
    <mergeCell ref="B4:E4"/>
    <mergeCell ref="K4:N4"/>
    <mergeCell ref="L6:L8"/>
    <mergeCell ref="M6:M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4" r:id="rId4" name="Option Button 4">
              <controlPr defaultSize="0" autoFill="0" autoLine="0" autoPict="0">
                <anchor moveWithCells="1">
                  <from>
                    <xdr:col>6</xdr:col>
                    <xdr:colOff>133350</xdr:colOff>
                    <xdr:row>3</xdr:row>
                    <xdr:rowOff>171450</xdr:rowOff>
                  </from>
                  <to>
                    <xdr:col>7</xdr:col>
                    <xdr:colOff>781050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Option Button 2">
              <controlPr defaultSize="0" autoFill="0" autoLine="0" autoPict="0">
                <anchor moveWithCells="1">
                  <from>
                    <xdr:col>6</xdr:col>
                    <xdr:colOff>152400</xdr:colOff>
                    <xdr:row>5</xdr:row>
                    <xdr:rowOff>133350</xdr:rowOff>
                  </from>
                  <to>
                    <xdr:col>8</xdr:col>
                    <xdr:colOff>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1" r:id="rId6" name="Spinner 1">
              <controlPr defaultSize="0" autoPict="0">
                <anchor moveWithCells="1" sizeWithCells="1">
                  <from>
                    <xdr:col>1</xdr:col>
                    <xdr:colOff>76200</xdr:colOff>
                    <xdr:row>5</xdr:row>
                    <xdr:rowOff>9525</xdr:rowOff>
                  </from>
                  <to>
                    <xdr:col>1</xdr:col>
                    <xdr:colOff>314325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">
    <tabColor theme="9" tint="-0.249977111117893"/>
  </sheetPr>
  <dimension ref="A1:H11"/>
  <sheetViews>
    <sheetView showGridLines="0" workbookViewId="0">
      <selection activeCell="C1" sqref="C1"/>
    </sheetView>
  </sheetViews>
  <sheetFormatPr baseColWidth="10" defaultColWidth="11.42578125" defaultRowHeight="12.75" x14ac:dyDescent="0.2"/>
  <cols>
    <col min="1" max="1" width="14.140625" customWidth="1"/>
    <col min="2" max="2" width="9.7109375" bestFit="1" customWidth="1"/>
    <col min="3" max="3" width="22.5703125" bestFit="1" customWidth="1"/>
    <col min="4" max="4" width="20.85546875" customWidth="1"/>
    <col min="5" max="5" width="5.5703125" customWidth="1"/>
    <col min="6" max="6" width="9.7109375" bestFit="1" customWidth="1"/>
    <col min="7" max="7" width="26" bestFit="1" customWidth="1"/>
    <col min="8" max="8" width="24.7109375" bestFit="1" customWidth="1"/>
    <col min="9" max="39" width="11.5703125" customWidth="1"/>
  </cols>
  <sheetData>
    <row r="1" spans="1:8" s="186" customFormat="1" ht="60" customHeight="1" x14ac:dyDescent="0.35">
      <c r="B1" s="211"/>
      <c r="C1" s="212" t="s">
        <v>57</v>
      </c>
      <c r="D1" s="211"/>
      <c r="E1" s="211"/>
      <c r="F1" s="211"/>
      <c r="G1" s="212" t="s">
        <v>58</v>
      </c>
      <c r="H1" s="211"/>
    </row>
    <row r="2" spans="1:8" s="186" customFormat="1" ht="60" customHeight="1" x14ac:dyDescent="0.2">
      <c r="B2" s="212" t="s">
        <v>2</v>
      </c>
      <c r="C2" s="212" t="s">
        <v>0</v>
      </c>
      <c r="D2" s="212" t="s">
        <v>117</v>
      </c>
      <c r="E2" s="216"/>
      <c r="F2" s="212" t="s">
        <v>2</v>
      </c>
      <c r="G2" s="212" t="s">
        <v>0</v>
      </c>
      <c r="H2" s="212" t="s">
        <v>117</v>
      </c>
    </row>
    <row r="3" spans="1:8" s="186" customFormat="1" ht="60" customHeight="1" x14ac:dyDescent="0.2">
      <c r="A3" s="210"/>
      <c r="B3" s="212" t="s">
        <v>37</v>
      </c>
      <c r="C3" s="215" t="s">
        <v>214</v>
      </c>
      <c r="D3" s="224" t="s">
        <v>250</v>
      </c>
      <c r="E3" s="216"/>
      <c r="F3" s="212" t="s">
        <v>37</v>
      </c>
      <c r="G3" s="215" t="s">
        <v>220</v>
      </c>
      <c r="H3" s="212" t="s">
        <v>256</v>
      </c>
    </row>
    <row r="4" spans="1:8" s="186" customFormat="1" ht="60" customHeight="1" x14ac:dyDescent="0.2">
      <c r="B4" s="212" t="s">
        <v>38</v>
      </c>
      <c r="C4" s="215" t="s">
        <v>217</v>
      </c>
      <c r="D4" s="224" t="s">
        <v>251</v>
      </c>
      <c r="E4" s="216"/>
      <c r="F4" s="212" t="s">
        <v>38</v>
      </c>
      <c r="G4" s="215" t="s">
        <v>223</v>
      </c>
      <c r="H4" s="212" t="s">
        <v>257</v>
      </c>
    </row>
    <row r="5" spans="1:8" s="186" customFormat="1" ht="60" customHeight="1" x14ac:dyDescent="0.2">
      <c r="B5" s="212" t="s">
        <v>39</v>
      </c>
      <c r="C5" s="215" t="s">
        <v>216</v>
      </c>
      <c r="D5" s="224" t="s">
        <v>252</v>
      </c>
      <c r="E5" s="216"/>
      <c r="F5" s="212" t="s">
        <v>39</v>
      </c>
      <c r="G5" s="215" t="s">
        <v>227</v>
      </c>
      <c r="H5" s="212" t="s">
        <v>258</v>
      </c>
    </row>
    <row r="6" spans="1:8" s="186" customFormat="1" ht="60" customHeight="1" x14ac:dyDescent="0.2">
      <c r="B6" s="212" t="s">
        <v>40</v>
      </c>
      <c r="C6" s="215" t="s">
        <v>219</v>
      </c>
      <c r="D6" s="224" t="s">
        <v>253</v>
      </c>
      <c r="E6" s="216"/>
      <c r="F6" s="212" t="s">
        <v>40</v>
      </c>
      <c r="G6" s="215" t="s">
        <v>224</v>
      </c>
      <c r="H6" s="212" t="s">
        <v>259</v>
      </c>
    </row>
    <row r="7" spans="1:8" s="186" customFormat="1" ht="60" customHeight="1" x14ac:dyDescent="0.2">
      <c r="B7" s="212" t="s">
        <v>41</v>
      </c>
      <c r="C7" s="215" t="s">
        <v>215</v>
      </c>
      <c r="D7" s="383" t="s">
        <v>254</v>
      </c>
      <c r="E7" s="216"/>
      <c r="F7" s="212" t="s">
        <v>41</v>
      </c>
      <c r="G7" s="215" t="s">
        <v>200</v>
      </c>
      <c r="H7" s="212" t="s">
        <v>260</v>
      </c>
    </row>
    <row r="8" spans="1:8" s="186" customFormat="1" ht="60" customHeight="1" x14ac:dyDescent="0.2">
      <c r="B8" s="212" t="s">
        <v>42</v>
      </c>
      <c r="C8" s="215" t="s">
        <v>232</v>
      </c>
      <c r="D8" s="224" t="s">
        <v>255</v>
      </c>
      <c r="E8" s="216"/>
      <c r="F8" s="212" t="s">
        <v>42</v>
      </c>
      <c r="G8" s="215" t="s">
        <v>222</v>
      </c>
      <c r="H8" s="224" t="s">
        <v>261</v>
      </c>
    </row>
    <row r="9" spans="1:8" s="186" customFormat="1" ht="60" customHeight="1" x14ac:dyDescent="0.2">
      <c r="B9" s="212" t="s">
        <v>179</v>
      </c>
      <c r="C9" s="217"/>
      <c r="D9" s="224"/>
      <c r="E9" s="216"/>
      <c r="F9" s="212" t="s">
        <v>179</v>
      </c>
      <c r="G9" s="215"/>
      <c r="H9" s="212"/>
    </row>
    <row r="10" spans="1:8" ht="22.15" customHeight="1" x14ac:dyDescent="0.2"/>
    <row r="11" spans="1:8" ht="21" x14ac:dyDescent="0.2">
      <c r="B11" s="222" t="s">
        <v>192</v>
      </c>
      <c r="C11" s="58">
        <f>COUNTA(C3:C9)</f>
        <v>6</v>
      </c>
      <c r="F11" s="222" t="s">
        <v>192</v>
      </c>
      <c r="G11" s="58">
        <f>COUNTA(G3:G9)</f>
        <v>6</v>
      </c>
    </row>
  </sheetData>
  <phoneticPr fontId="0" type="noConversion"/>
  <printOptions horizontalCentered="1" verticalCentered="1"/>
  <pageMargins left="0.78740157480314965" right="0.78740157480314965" top="0.19685039370078741" bottom="0.19685039370078741" header="0.51181102362204722" footer="0.51181102362204722"/>
  <pageSetup paperSize="9" orientation="landscape" horizontalDpi="360" verticalDpi="36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5">
    <tabColor theme="9" tint="-0.249977111117893"/>
  </sheetPr>
  <dimension ref="A1:H11"/>
  <sheetViews>
    <sheetView showGridLines="0" topLeftCell="A7" zoomScaleNormal="100" workbookViewId="0">
      <selection activeCell="D9" sqref="D9"/>
    </sheetView>
  </sheetViews>
  <sheetFormatPr baseColWidth="10" defaultColWidth="11.42578125" defaultRowHeight="12.75" x14ac:dyDescent="0.2"/>
  <cols>
    <col min="1" max="1" width="14.140625" customWidth="1"/>
    <col min="2" max="2" width="9.7109375" bestFit="1" customWidth="1"/>
    <col min="3" max="3" width="22.5703125" bestFit="1" customWidth="1"/>
    <col min="4" max="4" width="28.7109375" customWidth="1"/>
    <col min="5" max="5" width="11.5703125" customWidth="1"/>
    <col min="6" max="6" width="9.7109375" bestFit="1" customWidth="1"/>
    <col min="7" max="7" width="23.7109375" bestFit="1" customWidth="1"/>
    <col min="8" max="8" width="22.28515625" customWidth="1"/>
    <col min="9" max="39" width="11.5703125" customWidth="1"/>
  </cols>
  <sheetData>
    <row r="1" spans="1:8" s="140" customFormat="1" ht="60" customHeight="1" x14ac:dyDescent="0.35">
      <c r="B1" s="211"/>
      <c r="C1" s="212" t="s">
        <v>122</v>
      </c>
      <c r="D1" s="211"/>
      <c r="E1" s="211"/>
      <c r="F1" s="211"/>
      <c r="G1" s="212" t="s">
        <v>123</v>
      </c>
      <c r="H1" s="211"/>
    </row>
    <row r="2" spans="1:8" s="140" customFormat="1" ht="60" customHeight="1" x14ac:dyDescent="0.3">
      <c r="B2" s="212" t="s">
        <v>2</v>
      </c>
      <c r="C2" s="212" t="s">
        <v>0</v>
      </c>
      <c r="D2" s="212" t="s">
        <v>117</v>
      </c>
      <c r="E2" s="213"/>
      <c r="F2" s="212" t="s">
        <v>2</v>
      </c>
      <c r="G2" s="212" t="s">
        <v>0</v>
      </c>
      <c r="H2" s="212" t="s">
        <v>117</v>
      </c>
    </row>
    <row r="3" spans="1:8" s="140" customFormat="1" ht="60" customHeight="1" x14ac:dyDescent="0.3">
      <c r="A3" s="214"/>
      <c r="B3" s="212" t="s">
        <v>44</v>
      </c>
      <c r="C3" s="215" t="s">
        <v>225</v>
      </c>
      <c r="D3" s="224" t="s">
        <v>262</v>
      </c>
      <c r="E3" s="216"/>
      <c r="F3" s="212" t="s">
        <v>44</v>
      </c>
      <c r="G3" s="215" t="s">
        <v>230</v>
      </c>
      <c r="H3" s="224" t="s">
        <v>267</v>
      </c>
    </row>
    <row r="4" spans="1:8" s="140" customFormat="1" ht="60" customHeight="1" x14ac:dyDescent="0.3">
      <c r="B4" s="212" t="s">
        <v>45</v>
      </c>
      <c r="C4" s="215" t="s">
        <v>228</v>
      </c>
      <c r="D4" s="224" t="s">
        <v>263</v>
      </c>
      <c r="E4" s="216"/>
      <c r="F4" s="212" t="s">
        <v>45</v>
      </c>
      <c r="G4" s="215" t="s">
        <v>234</v>
      </c>
      <c r="H4" s="212" t="s">
        <v>269</v>
      </c>
    </row>
    <row r="5" spans="1:8" s="140" customFormat="1" ht="60" customHeight="1" x14ac:dyDescent="0.3">
      <c r="B5" s="212" t="s">
        <v>46</v>
      </c>
      <c r="C5" s="215" t="s">
        <v>221</v>
      </c>
      <c r="D5" s="224" t="s">
        <v>264</v>
      </c>
      <c r="E5" s="216"/>
      <c r="F5" s="212" t="s">
        <v>46</v>
      </c>
      <c r="G5" s="215" t="s">
        <v>246</v>
      </c>
      <c r="H5" s="212" t="s">
        <v>268</v>
      </c>
    </row>
    <row r="6" spans="1:8" s="140" customFormat="1" ht="60" customHeight="1" x14ac:dyDescent="0.3">
      <c r="B6" s="212" t="s">
        <v>47</v>
      </c>
      <c r="C6" s="215" t="s">
        <v>235</v>
      </c>
      <c r="D6" s="224" t="s">
        <v>265</v>
      </c>
      <c r="E6" s="216"/>
      <c r="F6" s="212" t="s">
        <v>47</v>
      </c>
      <c r="G6" s="215" t="s">
        <v>229</v>
      </c>
      <c r="H6" s="383" t="s">
        <v>270</v>
      </c>
    </row>
    <row r="7" spans="1:8" s="140" customFormat="1" ht="60" customHeight="1" x14ac:dyDescent="0.3">
      <c r="B7" s="212" t="s">
        <v>48</v>
      </c>
      <c r="C7" s="215" t="s">
        <v>226</v>
      </c>
      <c r="D7" s="224" t="s">
        <v>266</v>
      </c>
      <c r="E7" s="216"/>
      <c r="F7" s="212" t="s">
        <v>48</v>
      </c>
      <c r="G7" s="215" t="s">
        <v>231</v>
      </c>
      <c r="H7" s="212" t="s">
        <v>271</v>
      </c>
    </row>
    <row r="8" spans="1:8" s="140" customFormat="1" ht="60" customHeight="1" x14ac:dyDescent="0.3">
      <c r="B8" s="212" t="s">
        <v>49</v>
      </c>
      <c r="C8" s="215" t="s">
        <v>218</v>
      </c>
      <c r="D8" s="224" t="s">
        <v>285</v>
      </c>
      <c r="E8" s="216"/>
      <c r="F8" s="212" t="s">
        <v>49</v>
      </c>
      <c r="G8" s="215" t="s">
        <v>233</v>
      </c>
      <c r="H8" s="224" t="s">
        <v>272</v>
      </c>
    </row>
    <row r="9" spans="1:8" s="140" customFormat="1" ht="60" customHeight="1" x14ac:dyDescent="0.35">
      <c r="B9" s="212" t="s">
        <v>181</v>
      </c>
      <c r="C9" s="217"/>
      <c r="D9" s="212"/>
      <c r="E9" s="216"/>
      <c r="F9" s="212" t="s">
        <v>181</v>
      </c>
      <c r="G9" s="215"/>
      <c r="H9" s="218"/>
    </row>
    <row r="10" spans="1:8" ht="22.15" customHeight="1" x14ac:dyDescent="0.2">
      <c r="D10" s="2"/>
      <c r="E10" s="2"/>
    </row>
    <row r="11" spans="1:8" ht="21" x14ac:dyDescent="0.2">
      <c r="B11" s="222" t="s">
        <v>192</v>
      </c>
      <c r="C11" s="58">
        <f>COUNTA(C3:C9)</f>
        <v>6</v>
      </c>
      <c r="F11" s="222" t="s">
        <v>192</v>
      </c>
      <c r="G11" s="58">
        <f>COUNTA(G3:G9)</f>
        <v>6</v>
      </c>
    </row>
  </sheetData>
  <printOptions horizontalCentered="1" verticalCentered="1"/>
  <pageMargins left="0.19685039370078741" right="0.19685039370078741" top="0.19685039370078741" bottom="0.19685039370078741" header="0.51181102362204722" footer="0.51181102362204722"/>
  <pageSetup paperSize="9" orientation="landscape" horizontalDpi="360" verticalDpi="360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>
    <tabColor theme="9" tint="-0.249977111117893"/>
  </sheetPr>
  <dimension ref="A1:H16"/>
  <sheetViews>
    <sheetView showGridLines="0" workbookViewId="0">
      <selection activeCell="D14" sqref="D14"/>
    </sheetView>
  </sheetViews>
  <sheetFormatPr baseColWidth="10" defaultColWidth="11.42578125" defaultRowHeight="12.75" x14ac:dyDescent="0.2"/>
  <cols>
    <col min="1" max="1" width="14.140625" customWidth="1"/>
    <col min="2" max="2" width="9.7109375" bestFit="1" customWidth="1"/>
    <col min="3" max="3" width="22.5703125" bestFit="1" customWidth="1"/>
    <col min="4" max="4" width="24.85546875" style="1" customWidth="1"/>
    <col min="5" max="5" width="19.5703125" customWidth="1"/>
    <col min="6" max="6" width="9.7109375" bestFit="1" customWidth="1"/>
    <col min="7" max="7" width="23.7109375" bestFit="1" customWidth="1"/>
    <col min="8" max="8" width="21.28515625" style="1" bestFit="1" customWidth="1"/>
    <col min="9" max="39" width="11.5703125" customWidth="1"/>
  </cols>
  <sheetData>
    <row r="1" spans="1:8" s="211" customFormat="1" ht="60" customHeight="1" x14ac:dyDescent="0.35">
      <c r="C1" s="212" t="s">
        <v>124</v>
      </c>
      <c r="D1" s="219"/>
      <c r="G1" s="212" t="s">
        <v>125</v>
      </c>
      <c r="H1" s="219"/>
    </row>
    <row r="2" spans="1:8" s="211" customFormat="1" ht="60" customHeight="1" x14ac:dyDescent="0.35">
      <c r="B2" s="212" t="s">
        <v>2</v>
      </c>
      <c r="C2" s="212" t="s">
        <v>0</v>
      </c>
      <c r="D2" s="212" t="s">
        <v>117</v>
      </c>
      <c r="E2" s="222"/>
      <c r="F2" s="212" t="s">
        <v>2</v>
      </c>
      <c r="G2" s="212" t="s">
        <v>0</v>
      </c>
      <c r="H2" s="212" t="s">
        <v>117</v>
      </c>
    </row>
    <row r="3" spans="1:8" s="211" customFormat="1" ht="60" customHeight="1" x14ac:dyDescent="0.35">
      <c r="A3" s="220"/>
      <c r="B3" s="212" t="s">
        <v>50</v>
      </c>
      <c r="C3" s="215" t="s">
        <v>236</v>
      </c>
      <c r="D3" s="224" t="s">
        <v>273</v>
      </c>
      <c r="E3" s="216"/>
      <c r="F3" s="212" t="s">
        <v>50</v>
      </c>
      <c r="G3" s="215" t="s">
        <v>242</v>
      </c>
      <c r="H3" s="361" t="s">
        <v>278</v>
      </c>
    </row>
    <row r="4" spans="1:8" s="211" customFormat="1" ht="60" customHeight="1" x14ac:dyDescent="0.35">
      <c r="B4" s="212" t="s">
        <v>51</v>
      </c>
      <c r="C4" s="215" t="s">
        <v>239</v>
      </c>
      <c r="D4" s="361" t="s">
        <v>274</v>
      </c>
      <c r="E4" s="216"/>
      <c r="F4" s="212" t="s">
        <v>51</v>
      </c>
      <c r="G4" s="215" t="s">
        <v>245</v>
      </c>
      <c r="H4" s="224" t="s">
        <v>279</v>
      </c>
    </row>
    <row r="5" spans="1:8" s="211" customFormat="1" ht="60" customHeight="1" x14ac:dyDescent="0.35">
      <c r="B5" s="212" t="s">
        <v>52</v>
      </c>
      <c r="C5" s="215" t="s">
        <v>238</v>
      </c>
      <c r="D5" s="224" t="s">
        <v>275</v>
      </c>
      <c r="E5" s="216"/>
      <c r="F5" s="212" t="s">
        <v>52</v>
      </c>
      <c r="G5" s="215" t="s">
        <v>244</v>
      </c>
      <c r="H5" s="224" t="s">
        <v>284</v>
      </c>
    </row>
    <row r="6" spans="1:8" s="211" customFormat="1" ht="59.25" customHeight="1" x14ac:dyDescent="0.35">
      <c r="B6" s="212" t="s">
        <v>53</v>
      </c>
      <c r="C6" s="215" t="s">
        <v>281</v>
      </c>
      <c r="D6" s="224" t="s">
        <v>282</v>
      </c>
      <c r="E6" s="216"/>
      <c r="F6" s="212" t="s">
        <v>53</v>
      </c>
      <c r="G6" s="215" t="s">
        <v>240</v>
      </c>
      <c r="H6" s="224" t="s">
        <v>276</v>
      </c>
    </row>
    <row r="7" spans="1:8" s="211" customFormat="1" ht="60" customHeight="1" x14ac:dyDescent="0.35">
      <c r="B7" s="212" t="s">
        <v>54</v>
      </c>
      <c r="C7" s="215" t="s">
        <v>237</v>
      </c>
      <c r="D7" s="224" t="s">
        <v>277</v>
      </c>
      <c r="E7" s="216"/>
      <c r="F7" s="212" t="s">
        <v>54</v>
      </c>
      <c r="G7" s="215" t="s">
        <v>241</v>
      </c>
      <c r="H7" s="361" t="s">
        <v>283</v>
      </c>
    </row>
    <row r="8" spans="1:8" s="211" customFormat="1" ht="60" customHeight="1" x14ac:dyDescent="0.35">
      <c r="B8" s="212" t="s">
        <v>55</v>
      </c>
      <c r="C8" s="215" t="s">
        <v>286</v>
      </c>
      <c r="D8" s="224" t="s">
        <v>287</v>
      </c>
      <c r="E8" s="221"/>
      <c r="F8" s="212" t="s">
        <v>55</v>
      </c>
      <c r="G8" s="215" t="s">
        <v>243</v>
      </c>
      <c r="H8" s="224" t="s">
        <v>280</v>
      </c>
    </row>
    <row r="9" spans="1:8" ht="60" customHeight="1" x14ac:dyDescent="0.2">
      <c r="B9" s="212" t="s">
        <v>172</v>
      </c>
      <c r="C9" s="97"/>
      <c r="D9" s="323"/>
      <c r="E9" s="221"/>
      <c r="F9" s="212" t="s">
        <v>172</v>
      </c>
      <c r="G9" s="97"/>
      <c r="H9" s="323"/>
    </row>
    <row r="11" spans="1:8" ht="21" x14ac:dyDescent="0.2">
      <c r="B11" s="222" t="s">
        <v>192</v>
      </c>
      <c r="C11" s="58">
        <f>COUNTA(C3:C8)</f>
        <v>6</v>
      </c>
      <c r="F11" s="222" t="s">
        <v>192</v>
      </c>
      <c r="G11" s="58">
        <f>COUNTA(G3:G8)</f>
        <v>6</v>
      </c>
    </row>
    <row r="16" spans="1:8" ht="21" x14ac:dyDescent="0.2">
      <c r="D16" s="381"/>
      <c r="E16" s="382"/>
    </row>
  </sheetData>
  <printOptions horizontalCentered="1" verticalCentered="1"/>
  <pageMargins left="0.19685039370078741" right="0.19685039370078741" top="0" bottom="0" header="0.51181102362204722" footer="0.51181102362204722"/>
  <pageSetup paperSize="9" orientation="landscape" horizontalDpi="360" verticalDpi="360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9" tint="-0.249977111117893"/>
  </sheetPr>
  <dimension ref="B1:H31"/>
  <sheetViews>
    <sheetView showGridLines="0" topLeftCell="A4" workbookViewId="0">
      <selection activeCell="M19" sqref="M19"/>
    </sheetView>
  </sheetViews>
  <sheetFormatPr baseColWidth="10" defaultRowHeight="12.75" x14ac:dyDescent="0.2"/>
  <cols>
    <col min="1" max="1" width="5.140625" customWidth="1"/>
    <col min="3" max="3" width="19.7109375" bestFit="1" customWidth="1"/>
    <col min="5" max="5" width="8.5703125" customWidth="1"/>
    <col min="7" max="7" width="21.7109375" bestFit="1" customWidth="1"/>
  </cols>
  <sheetData>
    <row r="1" spans="2:8" x14ac:dyDescent="0.2">
      <c r="C1" s="88" t="s">
        <v>202</v>
      </c>
      <c r="G1" s="88" t="s">
        <v>205</v>
      </c>
    </row>
    <row r="2" spans="2:8" ht="13.5" thickBot="1" x14ac:dyDescent="0.25"/>
    <row r="3" spans="2:8" ht="13.5" thickBot="1" x14ac:dyDescent="0.25">
      <c r="C3" s="362" t="s">
        <v>36</v>
      </c>
      <c r="G3" s="362" t="s">
        <v>36</v>
      </c>
    </row>
    <row r="4" spans="2:8" ht="13.5" thickBot="1" x14ac:dyDescent="0.25">
      <c r="D4" s="362" t="s">
        <v>201</v>
      </c>
      <c r="H4" s="362" t="s">
        <v>204</v>
      </c>
    </row>
    <row r="5" spans="2:8" s="2" customFormat="1" ht="20.100000000000001" customHeight="1" thickBot="1" x14ac:dyDescent="0.25">
      <c r="B5" s="363" t="str">
        <f>'POULE 3'!C3</f>
        <v>TG5</v>
      </c>
      <c r="C5" s="363" t="str">
        <f>'POULE 3'!D3</f>
        <v>DEYDIER Ambre</v>
      </c>
      <c r="D5" s="364">
        <v>3</v>
      </c>
      <c r="F5" s="363" t="str">
        <f>'POULE 3'!G3</f>
        <v>TG7</v>
      </c>
      <c r="G5" s="363" t="str">
        <f>'POULE 3'!H3</f>
        <v>THELU Nathan</v>
      </c>
      <c r="H5" s="364">
        <v>1</v>
      </c>
    </row>
    <row r="6" spans="2:8" s="2" customFormat="1" ht="20.100000000000001" customHeight="1" thickBot="1" x14ac:dyDescent="0.25">
      <c r="B6" s="363" t="str">
        <f>'POULE 3'!C4</f>
        <v>2n9</v>
      </c>
      <c r="C6" s="363" t="str">
        <f>'POULE 3'!D4</f>
        <v>CZORNOMAZ Tatiana</v>
      </c>
      <c r="D6" s="364">
        <v>4</v>
      </c>
      <c r="F6" s="363" t="str">
        <f>'POULE 3'!G4</f>
        <v>2n5</v>
      </c>
      <c r="G6" s="363" t="str">
        <f>'POULE 3'!H4</f>
        <v>VENTURA Tatiana</v>
      </c>
      <c r="H6" s="364">
        <v>3</v>
      </c>
    </row>
    <row r="7" spans="2:8" s="2" customFormat="1" ht="20.100000000000001" customHeight="1" thickBot="1" x14ac:dyDescent="0.25">
      <c r="B7" s="363" t="str">
        <f>'POULE 3'!C5</f>
        <v>1G4</v>
      </c>
      <c r="C7" s="363" t="str">
        <f>'POULE 3'!D5</f>
        <v>DIJOUX Tymoé</v>
      </c>
      <c r="D7" s="364">
        <v>5</v>
      </c>
      <c r="F7" s="363" t="str">
        <f>'POULE 3'!G5</f>
        <v>1G7</v>
      </c>
      <c r="G7" s="363" t="str">
        <f>'POULE 3'!H5</f>
        <v>GOIFFON Pauline</v>
      </c>
      <c r="H7" s="364">
        <v>4</v>
      </c>
    </row>
    <row r="8" spans="2:8" s="2" customFormat="1" ht="20.100000000000001" customHeight="1" thickBot="1" x14ac:dyDescent="0.25">
      <c r="B8" s="363" t="str">
        <f>'POULE 3'!C6</f>
        <v>2AGORA</v>
      </c>
      <c r="C8" s="363" t="str">
        <f>'POULE 3'!D6</f>
        <v>GHAOUI Menel</v>
      </c>
      <c r="D8" s="364">
        <v>6</v>
      </c>
      <c r="F8" s="363" t="e">
        <f>'POULE 3'!#REF!</f>
        <v>#REF!</v>
      </c>
      <c r="G8" s="363" t="e">
        <f>'POULE 3'!#REF!</f>
        <v>#REF!</v>
      </c>
      <c r="H8" s="364">
        <v>5</v>
      </c>
    </row>
    <row r="9" spans="2:8" s="2" customFormat="1" ht="20.100000000000001" customHeight="1" thickBot="1" x14ac:dyDescent="0.25">
      <c r="B9" s="363" t="str">
        <f>'POULE 3'!C7</f>
        <v>TG9</v>
      </c>
      <c r="C9" s="363" t="str">
        <f>'POULE 3'!D7</f>
        <v>SCHMITT Mathilde</v>
      </c>
      <c r="D9" s="364">
        <v>7</v>
      </c>
      <c r="F9" s="363" t="str">
        <f>'POULE 3'!G7</f>
        <v>TG8</v>
      </c>
      <c r="G9" s="363" t="str">
        <f>'POULE 3'!H7</f>
        <v>BANITE Merwane</v>
      </c>
      <c r="H9" s="364">
        <v>6</v>
      </c>
    </row>
    <row r="10" spans="2:8" s="2" customFormat="1" ht="20.100000000000001" customHeight="1" thickBot="1" x14ac:dyDescent="0.25">
      <c r="B10" s="363" t="str">
        <f>'POULE 3'!C8</f>
        <v>TSTMG3</v>
      </c>
      <c r="C10" s="363" t="str">
        <f>'POULE 3'!D8</f>
        <v>FOUCHER Maximilien</v>
      </c>
      <c r="D10" s="364">
        <v>8</v>
      </c>
      <c r="F10" s="363" t="str">
        <f>'POULE 3'!G8</f>
        <v>1AGORA</v>
      </c>
      <c r="G10" s="363" t="str">
        <f>'POULE 3'!H8</f>
        <v>VELLY Stephen</v>
      </c>
      <c r="H10" s="364">
        <v>7</v>
      </c>
    </row>
    <row r="11" spans="2:8" s="2" customFormat="1" ht="20.100000000000001" customHeight="1" thickBot="1" x14ac:dyDescent="0.25">
      <c r="B11" s="363">
        <f>'POULE 3'!C9</f>
        <v>0</v>
      </c>
      <c r="C11" s="363">
        <f>'POULE 3'!D9</f>
        <v>0</v>
      </c>
      <c r="D11" s="364"/>
      <c r="F11" s="363" t="str">
        <f>'POULE 3'!G6</f>
        <v>2n4</v>
      </c>
      <c r="G11" s="363" t="str">
        <f>'POULE 3'!H6</f>
        <v>ROUX Emilie</v>
      </c>
      <c r="H11" s="364"/>
    </row>
    <row r="12" spans="2:8" ht="13.5" thickBot="1" x14ac:dyDescent="0.25"/>
    <row r="13" spans="2:8" ht="13.5" thickBot="1" x14ac:dyDescent="0.25">
      <c r="C13" s="362" t="s">
        <v>62</v>
      </c>
      <c r="D13" s="88"/>
      <c r="G13" s="362" t="s">
        <v>62</v>
      </c>
      <c r="H13" s="88"/>
    </row>
    <row r="14" spans="2:8" ht="13.5" thickBot="1" x14ac:dyDescent="0.25">
      <c r="D14" s="379" t="s">
        <v>247</v>
      </c>
      <c r="H14" s="362" t="s">
        <v>213</v>
      </c>
    </row>
    <row r="15" spans="2:8" s="2" customFormat="1" ht="20.100000000000001" customHeight="1" thickBot="1" x14ac:dyDescent="0.25">
      <c r="B15" s="363" t="str">
        <f>POULE1!C3</f>
        <v>TG1</v>
      </c>
      <c r="C15" s="363" t="str">
        <f>POULE1!D3</f>
        <v>MIR Lucie</v>
      </c>
      <c r="D15" s="364"/>
      <c r="F15" s="363" t="str">
        <f>POULE1!G3</f>
        <v>TG4</v>
      </c>
      <c r="G15" s="363" t="str">
        <f>POULE1!H3</f>
        <v>ENGERAND Hugo</v>
      </c>
      <c r="H15" s="364">
        <v>1</v>
      </c>
    </row>
    <row r="16" spans="2:8" s="2" customFormat="1" ht="20.100000000000001" customHeight="1" thickBot="1" x14ac:dyDescent="0.25">
      <c r="B16" s="363" t="str">
        <f>POULE1!C4</f>
        <v>2n11</v>
      </c>
      <c r="C16" s="363" t="str">
        <f>POULE1!D4</f>
        <v>PREVOTEAU Lucie</v>
      </c>
      <c r="D16" s="364"/>
      <c r="F16" s="363" t="str">
        <f>POULE1!G4</f>
        <v>2n8</v>
      </c>
      <c r="G16" s="363" t="str">
        <f>POULE1!H4</f>
        <v>DEWYSE Justine</v>
      </c>
      <c r="H16" s="364">
        <v>2</v>
      </c>
    </row>
    <row r="17" spans="2:8" s="2" customFormat="1" ht="20.100000000000001" customHeight="1" thickBot="1" x14ac:dyDescent="0.25">
      <c r="B17" s="363" t="str">
        <f>POULE1!C5</f>
        <v>1G1</v>
      </c>
      <c r="C17" s="363" t="str">
        <f>POULE1!D5</f>
        <v>LANGONNET Jules</v>
      </c>
      <c r="D17" s="364"/>
      <c r="F17" s="363" t="str">
        <f>POULE1!G5</f>
        <v>1G5</v>
      </c>
      <c r="G17" s="363" t="str">
        <f>POULE1!H5</f>
        <v>UROS Hugo</v>
      </c>
      <c r="H17" s="364">
        <v>3</v>
      </c>
    </row>
    <row r="18" spans="2:8" s="2" customFormat="1" ht="20.100000000000001" customHeight="1" thickBot="1" x14ac:dyDescent="0.25">
      <c r="B18" s="363" t="str">
        <f>POULE1!C6</f>
        <v>2n1</v>
      </c>
      <c r="C18" s="363" t="str">
        <f>POULE1!D6</f>
        <v>BUET-PES Joée</v>
      </c>
      <c r="D18" s="364"/>
      <c r="F18" s="363" t="str">
        <f>POULE1!G6</f>
        <v>2n3</v>
      </c>
      <c r="G18" s="363" t="str">
        <f>POULE1!H6</f>
        <v>CRAVELLO Thomas</v>
      </c>
      <c r="H18" s="364">
        <v>5</v>
      </c>
    </row>
    <row r="19" spans="2:8" s="2" customFormat="1" ht="20.100000000000001" customHeight="1" thickBot="1" x14ac:dyDescent="0.25">
      <c r="B19" s="363" t="str">
        <f>POULE1!C7</f>
        <v>TAGORA</v>
      </c>
      <c r="C19" s="363" t="str">
        <f>POULE1!D7</f>
        <v>RAYMOND Lilou</v>
      </c>
      <c r="D19" s="364"/>
      <c r="F19" s="363" t="str">
        <f>POULE1!G7</f>
        <v>TSTMG2</v>
      </c>
      <c r="G19" s="363" t="str">
        <f>POULE1!H7</f>
        <v>VENDRELL Julie</v>
      </c>
      <c r="H19" s="364">
        <v>9</v>
      </c>
    </row>
    <row r="20" spans="2:8" s="2" customFormat="1" ht="20.100000000000001" customHeight="1" thickBot="1" x14ac:dyDescent="0.25">
      <c r="B20" s="363" t="str">
        <f>POULE1!C8</f>
        <v>1STMG3</v>
      </c>
      <c r="C20" s="363" t="str">
        <f>POULE1!D8</f>
        <v>MAIGA Enzo</v>
      </c>
      <c r="D20" s="364"/>
      <c r="F20" s="363" t="str">
        <f>POULE1!G8</f>
        <v>1G8</v>
      </c>
      <c r="G20" s="363" t="str">
        <f>POULE1!H8</f>
        <v>PINTO Lucas</v>
      </c>
      <c r="H20" s="364">
        <v>10</v>
      </c>
    </row>
    <row r="21" spans="2:8" s="2" customFormat="1" ht="20.100000000000001" customHeight="1" thickBot="1" x14ac:dyDescent="0.25">
      <c r="B21" s="363">
        <f>POULE1!C9</f>
        <v>0</v>
      </c>
      <c r="C21" s="363">
        <f>POULE1!D9</f>
        <v>0</v>
      </c>
      <c r="D21" s="364"/>
      <c r="F21" s="363">
        <f>POULE1!G9</f>
        <v>0</v>
      </c>
      <c r="G21" s="363">
        <f>POULE1!H9</f>
        <v>0</v>
      </c>
      <c r="H21" s="364"/>
    </row>
    <row r="22" spans="2:8" ht="13.5" thickBot="1" x14ac:dyDescent="0.25"/>
    <row r="23" spans="2:8" ht="13.5" thickBot="1" x14ac:dyDescent="0.25">
      <c r="C23" s="362" t="s">
        <v>63</v>
      </c>
      <c r="G23" s="362" t="s">
        <v>63</v>
      </c>
    </row>
    <row r="24" spans="2:8" ht="13.5" thickBot="1" x14ac:dyDescent="0.25">
      <c r="D24" s="379" t="s">
        <v>204</v>
      </c>
      <c r="H24" s="362" t="s">
        <v>203</v>
      </c>
    </row>
    <row r="25" spans="2:8" s="2" customFormat="1" ht="20.100000000000001" customHeight="1" thickBot="1" x14ac:dyDescent="0.25">
      <c r="B25" s="363" t="str">
        <f>+'POULE 2'!C3</f>
        <v>TG3</v>
      </c>
      <c r="C25" s="363" t="str">
        <f>+'POULE 2'!D3</f>
        <v>MOKRANI Florian</v>
      </c>
      <c r="D25" s="380" t="s">
        <v>248</v>
      </c>
      <c r="F25" s="363" t="str">
        <f>+'POULE 2'!G3</f>
        <v>TG6</v>
      </c>
      <c r="G25" s="363" t="str">
        <f>+'POULE 2'!H3</f>
        <v>BRUNON Nicolas</v>
      </c>
      <c r="H25" s="364">
        <v>1</v>
      </c>
    </row>
    <row r="26" spans="2:8" s="2" customFormat="1" ht="20.100000000000001" customHeight="1" thickBot="1" x14ac:dyDescent="0.25">
      <c r="B26" s="363" t="str">
        <f>+'POULE 2'!C4</f>
        <v>2n10</v>
      </c>
      <c r="C26" s="363" t="str">
        <f>+'POULE 2'!D4</f>
        <v>CHOUKROUN Leny</v>
      </c>
      <c r="D26" s="380" t="s">
        <v>249</v>
      </c>
      <c r="F26" s="363" t="str">
        <f>+'POULE 2'!G4</f>
        <v>2n7</v>
      </c>
      <c r="G26" s="363" t="str">
        <f>+'POULE 2'!H4</f>
        <v>LEPORI Juliette</v>
      </c>
      <c r="H26" s="364">
        <v>2</v>
      </c>
    </row>
    <row r="27" spans="2:8" s="2" customFormat="1" ht="20.100000000000001" customHeight="1" thickBot="1" x14ac:dyDescent="0.25">
      <c r="B27" s="363" t="str">
        <f>+'POULE 2'!C5</f>
        <v>1G2</v>
      </c>
      <c r="C27" s="363" t="str">
        <f>+'POULE 2'!D5</f>
        <v>NAIL-MORNET Violette</v>
      </c>
      <c r="D27" s="364">
        <v>6</v>
      </c>
      <c r="F27" s="363" t="str">
        <f>+'POULE 2'!G5</f>
        <v>1STMG2</v>
      </c>
      <c r="G27" s="363" t="str">
        <f>+'POULE 2'!H5</f>
        <v>FELETTI Leane</v>
      </c>
      <c r="H27" s="364">
        <v>3</v>
      </c>
    </row>
    <row r="28" spans="2:8" s="2" customFormat="1" ht="20.100000000000001" customHeight="1" thickBot="1" x14ac:dyDescent="0.25">
      <c r="B28" s="363" t="str">
        <f>+'POULE 2'!C6</f>
        <v>2n6</v>
      </c>
      <c r="C28" s="363" t="str">
        <f>+'POULE 2'!D6</f>
        <v>LANCESSEUR Lilly</v>
      </c>
      <c r="D28" s="364">
        <v>8</v>
      </c>
      <c r="F28" s="363" t="str">
        <f>+'POULE 2'!G6</f>
        <v>2n2</v>
      </c>
      <c r="G28" s="363" t="str">
        <f>+'POULE 2'!H6</f>
        <v>LUZY NACIMENTO L</v>
      </c>
      <c r="H28" s="364">
        <v>4</v>
      </c>
    </row>
    <row r="29" spans="2:8" s="2" customFormat="1" ht="20.100000000000001" customHeight="1" thickBot="1" x14ac:dyDescent="0.25">
      <c r="B29" s="363" t="str">
        <f>+'POULE 2'!C7</f>
        <v>TSTMG1</v>
      </c>
      <c r="C29" s="363" t="str">
        <f>+'POULE 2'!D7</f>
        <v>MARTINEZ Eva</v>
      </c>
      <c r="D29" s="364">
        <v>9</v>
      </c>
      <c r="F29" s="363" t="str">
        <f>+'POULE 2'!G7</f>
        <v>TG2</v>
      </c>
      <c r="G29" s="363" t="str">
        <f>+'POULE 2'!H7</f>
        <v>MULLER Mathilde</v>
      </c>
      <c r="H29" s="364">
        <v>5</v>
      </c>
    </row>
    <row r="30" spans="2:8" s="2" customFormat="1" ht="20.100000000000001" customHeight="1" thickBot="1" x14ac:dyDescent="0.25">
      <c r="B30" s="363" t="str">
        <f>+'POULE 2'!C8</f>
        <v>1G6</v>
      </c>
      <c r="C30" s="363" t="str">
        <f>+'POULE 2'!D8</f>
        <v>BONTOUX JARDEL Lucas</v>
      </c>
      <c r="D30" s="364">
        <v>10</v>
      </c>
      <c r="F30" s="363" t="str">
        <f>+'POULE 2'!G8</f>
        <v>1G3</v>
      </c>
      <c r="G30" s="363" t="str">
        <f>+'POULE 2'!H8</f>
        <v>CASTEL Lola</v>
      </c>
      <c r="H30" s="364">
        <v>6</v>
      </c>
    </row>
    <row r="31" spans="2:8" ht="19.5" customHeight="1" thickBot="1" x14ac:dyDescent="0.25">
      <c r="B31" s="363">
        <f>+'POULE 2'!C9</f>
        <v>0</v>
      </c>
      <c r="C31" s="363">
        <f>+'POULE 2'!D9</f>
        <v>0</v>
      </c>
      <c r="D31" s="364"/>
      <c r="F31" s="363">
        <f>+'POULE 2'!G9</f>
        <v>0</v>
      </c>
      <c r="G31" s="363">
        <f>+'POULE 2'!H9</f>
        <v>0</v>
      </c>
      <c r="H31" s="364"/>
    </row>
  </sheetData>
  <pageMargins left="3.937007874015748E-2" right="3.937007874015748E-2" top="0.74803149606299213" bottom="0.74803149606299213" header="0.31496062992125984" footer="0.31496062992125984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21">
    <tabColor theme="9" tint="-0.249977111117893"/>
  </sheetPr>
  <dimension ref="A5:K20"/>
  <sheetViews>
    <sheetView workbookViewId="0">
      <selection activeCell="E22" sqref="E22"/>
    </sheetView>
  </sheetViews>
  <sheetFormatPr baseColWidth="10" defaultRowHeight="12.75" x14ac:dyDescent="0.2"/>
  <cols>
    <col min="2" max="2" width="6.5703125" bestFit="1" customWidth="1"/>
    <col min="3" max="3" width="15" bestFit="1" customWidth="1"/>
    <col min="4" max="4" width="7.7109375" bestFit="1" customWidth="1"/>
    <col min="5" max="5" width="20.42578125" bestFit="1" customWidth="1"/>
    <col min="6" max="6" width="19.7109375" bestFit="1" customWidth="1"/>
    <col min="7" max="7" width="16.28515625" bestFit="1" customWidth="1"/>
    <col min="8" max="8" width="14.140625" bestFit="1" customWidth="1"/>
    <col min="9" max="9" width="21.7109375" bestFit="1" customWidth="1"/>
    <col min="10" max="11" width="15" bestFit="1" customWidth="1"/>
  </cols>
  <sheetData>
    <row r="5" spans="1:11" x14ac:dyDescent="0.2">
      <c r="E5" s="88" t="s">
        <v>137</v>
      </c>
    </row>
    <row r="7" spans="1:11" ht="15.75" x14ac:dyDescent="0.2">
      <c r="A7" s="88" t="s">
        <v>138</v>
      </c>
      <c r="B7" s="88" t="s">
        <v>133</v>
      </c>
      <c r="C7" s="88" t="s">
        <v>140</v>
      </c>
      <c r="D7" s="88" t="s">
        <v>139</v>
      </c>
      <c r="E7" s="371" t="s">
        <v>206</v>
      </c>
      <c r="F7" s="371" t="s">
        <v>207</v>
      </c>
      <c r="G7" s="371" t="s">
        <v>208</v>
      </c>
      <c r="H7" s="371" t="s">
        <v>209</v>
      </c>
      <c r="I7" s="371" t="s">
        <v>210</v>
      </c>
      <c r="J7" s="371" t="s">
        <v>211</v>
      </c>
      <c r="K7" s="371" t="s">
        <v>212</v>
      </c>
    </row>
    <row r="8" spans="1:11" x14ac:dyDescent="0.2">
      <c r="A8" s="372" t="s">
        <v>18</v>
      </c>
      <c r="B8" s="373">
        <v>1</v>
      </c>
      <c r="C8" s="373">
        <v>3</v>
      </c>
      <c r="D8" s="373">
        <v>2</v>
      </c>
      <c r="E8" s="374" t="str">
        <f>'POULE 3'!$D$3</f>
        <v>DEYDIER Ambre</v>
      </c>
      <c r="F8" s="374" t="str">
        <f>'POULE 3'!$D$4</f>
        <v>CZORNOMAZ Tatiana</v>
      </c>
      <c r="G8" s="374" t="str">
        <f>'POULE 3'!$D$5</f>
        <v>DIJOUX Tymoé</v>
      </c>
      <c r="H8" s="374" t="str">
        <f>'POULE 3'!$D$6</f>
        <v>GHAOUI Menel</v>
      </c>
      <c r="I8" s="374" t="str">
        <f>'POULE 3'!$D$7</f>
        <v>SCHMITT Mathilde</v>
      </c>
      <c r="J8" s="374" t="str">
        <f>'POULE 3'!$D$8</f>
        <v>FOUCHER Maximilien</v>
      </c>
      <c r="K8" s="374"/>
    </row>
    <row r="9" spans="1:11" x14ac:dyDescent="0.2">
      <c r="A9" s="375" t="s">
        <v>18</v>
      </c>
      <c r="B9" s="376">
        <v>2</v>
      </c>
      <c r="C9" s="376">
        <v>1</v>
      </c>
      <c r="D9" s="376">
        <v>3</v>
      </c>
      <c r="E9" s="377" t="str">
        <f>POULE1!$D$3</f>
        <v>MIR Lucie</v>
      </c>
      <c r="F9" s="377" t="str">
        <f>POULE1!$D$4</f>
        <v>PREVOTEAU Lucie</v>
      </c>
      <c r="G9" s="377" t="str">
        <f>POULE1!$D$5</f>
        <v>LANGONNET Jules</v>
      </c>
      <c r="H9" s="377" t="str">
        <f>POULE1!$D$6</f>
        <v>BUET-PES Joée</v>
      </c>
      <c r="I9" s="377" t="str">
        <f>POULE1!$D$7</f>
        <v>RAYMOND Lilou</v>
      </c>
      <c r="J9" s="377" t="str">
        <f>POULE1!$D$8</f>
        <v>MAIGA Enzo</v>
      </c>
      <c r="K9" s="377">
        <f>POULE1!$D$9</f>
        <v>0</v>
      </c>
    </row>
    <row r="10" spans="1:11" x14ac:dyDescent="0.2">
      <c r="A10" s="375" t="s">
        <v>18</v>
      </c>
      <c r="B10" s="376">
        <v>3</v>
      </c>
      <c r="C10" s="376">
        <v>2</v>
      </c>
      <c r="D10" s="376">
        <v>4</v>
      </c>
      <c r="E10" s="377" t="str">
        <f>'POULE 2'!$D$3</f>
        <v>MOKRANI Florian</v>
      </c>
      <c r="F10" s="377" t="str">
        <f>'POULE 2'!$D$4</f>
        <v>CHOUKROUN Leny</v>
      </c>
      <c r="G10" s="377" t="str">
        <f>'POULE 2'!$D$5</f>
        <v>NAIL-MORNET Violette</v>
      </c>
      <c r="H10" s="377" t="str">
        <f>'POULE 2'!$D$6</f>
        <v>LANCESSEUR Lilly</v>
      </c>
      <c r="I10" s="377" t="str">
        <f>'POULE 2'!$D$7</f>
        <v>MARTINEZ Eva</v>
      </c>
      <c r="J10" s="377" t="str">
        <f>'POULE 2'!$D$8</f>
        <v>BONTOUX JARDEL Lucas</v>
      </c>
      <c r="K10" s="377">
        <f>'POULE 2'!$D$9</f>
        <v>0</v>
      </c>
    </row>
    <row r="11" spans="1:11" x14ac:dyDescent="0.2">
      <c r="A11" s="375" t="s">
        <v>19</v>
      </c>
      <c r="B11" s="376">
        <v>1</v>
      </c>
      <c r="C11" s="376">
        <v>3</v>
      </c>
      <c r="D11" s="376">
        <v>6</v>
      </c>
      <c r="E11" s="377" t="str">
        <f>'POULE 3'!$H$3</f>
        <v>THELU Nathan</v>
      </c>
      <c r="F11" s="377" t="str">
        <f>'POULE 3'!$H$4</f>
        <v>VENTURA Tatiana</v>
      </c>
      <c r="G11" s="377" t="str">
        <f>'POULE 3'!$H$5</f>
        <v>GOIFFON Pauline</v>
      </c>
      <c r="H11" s="377" t="e">
        <f>'POULE 3'!#REF!</f>
        <v>#REF!</v>
      </c>
      <c r="I11" s="377" t="str">
        <f>'POULE 3'!$H$7</f>
        <v>BANITE Merwane</v>
      </c>
      <c r="J11" s="377" t="str">
        <f>'POULE 3'!$H$8</f>
        <v>VELLY Stephen</v>
      </c>
      <c r="K11" s="377" t="str">
        <f>'POULE 3'!$H$6</f>
        <v>ROUX Emilie</v>
      </c>
    </row>
    <row r="12" spans="1:11" x14ac:dyDescent="0.2">
      <c r="A12" s="375" t="s">
        <v>19</v>
      </c>
      <c r="B12" s="376">
        <v>2</v>
      </c>
      <c r="C12" s="376">
        <v>1</v>
      </c>
      <c r="D12" s="376">
        <v>7</v>
      </c>
      <c r="E12" s="377" t="str">
        <f>POULE1!$H$3</f>
        <v>ENGERAND Hugo</v>
      </c>
      <c r="F12" s="377" t="str">
        <f>POULE1!$H$4</f>
        <v>DEWYSE Justine</v>
      </c>
      <c r="G12" s="377" t="str">
        <f>POULE1!$H$5</f>
        <v>UROS Hugo</v>
      </c>
      <c r="H12" s="377" t="str">
        <f>POULE1!$H$6</f>
        <v>CRAVELLO Thomas</v>
      </c>
      <c r="I12" s="377" t="str">
        <f>POULE1!$H$7</f>
        <v>VENDRELL Julie</v>
      </c>
      <c r="J12" s="377" t="str">
        <f>POULE1!$H$8</f>
        <v>PINTO Lucas</v>
      </c>
      <c r="K12" s="377">
        <f>POULE1!$H$9</f>
        <v>0</v>
      </c>
    </row>
    <row r="13" spans="1:11" x14ac:dyDescent="0.2">
      <c r="A13" s="375" t="s">
        <v>19</v>
      </c>
      <c r="B13" s="376">
        <v>3</v>
      </c>
      <c r="C13" s="376">
        <v>2</v>
      </c>
      <c r="D13" s="376">
        <v>8</v>
      </c>
      <c r="E13" s="377" t="str">
        <f>'POULE 2'!$H$3</f>
        <v>BRUNON Nicolas</v>
      </c>
      <c r="F13" s="377" t="str">
        <f>'POULE 2'!$H$4</f>
        <v>LEPORI Juliette</v>
      </c>
      <c r="G13" s="377" t="str">
        <f>'POULE 2'!$H$5</f>
        <v>FELETTI Leane</v>
      </c>
      <c r="H13" s="377" t="str">
        <f>'POULE 2'!$H$6</f>
        <v>LUZY NACIMENTO L</v>
      </c>
      <c r="I13" s="377" t="str">
        <f>'POULE 2'!$H$7</f>
        <v>MULLER Mathilde</v>
      </c>
      <c r="J13" s="377" t="str">
        <f>'POULE 2'!$H$8</f>
        <v>CASTEL Lola</v>
      </c>
      <c r="K13" s="377">
        <f>'POULE 2'!$H$9</f>
        <v>0</v>
      </c>
    </row>
    <row r="15" spans="1:11" ht="18" x14ac:dyDescent="0.25">
      <c r="B15" s="389" t="s">
        <v>136</v>
      </c>
      <c r="C15" s="389"/>
    </row>
    <row r="16" spans="1:11" x14ac:dyDescent="0.2">
      <c r="B16" s="88"/>
    </row>
    <row r="17" spans="2:3" x14ac:dyDescent="0.2">
      <c r="B17" s="101" t="s">
        <v>133</v>
      </c>
      <c r="C17" s="186" t="s">
        <v>135</v>
      </c>
    </row>
    <row r="18" spans="2:3" x14ac:dyDescent="0.2">
      <c r="B18" s="101">
        <v>1</v>
      </c>
      <c r="C18" s="101">
        <v>3</v>
      </c>
    </row>
    <row r="19" spans="2:3" x14ac:dyDescent="0.2">
      <c r="B19" s="101">
        <v>2</v>
      </c>
      <c r="C19" s="101">
        <v>1</v>
      </c>
    </row>
    <row r="20" spans="2:3" x14ac:dyDescent="0.2">
      <c r="B20" s="101">
        <v>3</v>
      </c>
      <c r="C20" s="101">
        <v>2</v>
      </c>
    </row>
  </sheetData>
  <mergeCells count="1">
    <mergeCell ref="B15:C15"/>
  </mergeCells>
  <phoneticPr fontId="29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5"/>
  <dimension ref="A1:V49"/>
  <sheetViews>
    <sheetView showGridLines="0" tabSelected="1" zoomScaleNormal="100" workbookViewId="0">
      <selection activeCell="I9" sqref="I9"/>
    </sheetView>
  </sheetViews>
  <sheetFormatPr baseColWidth="10" defaultRowHeight="18" x14ac:dyDescent="0.25"/>
  <cols>
    <col min="1" max="1" width="7" style="143" bestFit="1" customWidth="1"/>
    <col min="2" max="2" width="3.85546875" style="80" bestFit="1" customWidth="1"/>
    <col min="3" max="3" width="3.7109375" style="121" customWidth="1"/>
    <col min="4" max="4" width="16.7109375" customWidth="1"/>
    <col min="5" max="5" width="2.7109375" style="123" customWidth="1"/>
    <col min="6" max="6" width="16.7109375" customWidth="1"/>
    <col min="7" max="7" width="3.7109375" style="121" customWidth="1"/>
    <col min="8" max="8" width="2.42578125" customWidth="1"/>
    <col min="9" max="9" width="23.7109375" customWidth="1"/>
    <col min="10" max="10" width="3.42578125" customWidth="1"/>
    <col min="11" max="11" width="5.7109375" customWidth="1"/>
    <col min="12" max="12" width="3" style="1" customWidth="1"/>
    <col min="13" max="13" width="3.42578125" customWidth="1"/>
    <col min="14" max="14" width="8.42578125" customWidth="1"/>
    <col min="15" max="15" width="3.7109375" hidden="1" customWidth="1"/>
    <col min="16" max="17" width="4.85546875" hidden="1" customWidth="1"/>
    <col min="18" max="18" width="8.5703125" hidden="1" customWidth="1"/>
    <col min="19" max="20" width="4.85546875" hidden="1" customWidth="1"/>
    <col min="21" max="21" width="3.7109375" hidden="1" customWidth="1"/>
    <col min="22" max="22" width="12.85546875" hidden="1" customWidth="1"/>
  </cols>
  <sheetData>
    <row r="1" spans="1:22" ht="21.95" customHeight="1" x14ac:dyDescent="0.35">
      <c r="A1" s="143" t="s">
        <v>95</v>
      </c>
      <c r="B1" s="142"/>
      <c r="C1" s="395" t="s">
        <v>21</v>
      </c>
      <c r="D1" s="395"/>
      <c r="E1" s="395"/>
      <c r="F1" s="395"/>
      <c r="G1" s="395"/>
      <c r="H1" s="395"/>
      <c r="I1" s="395"/>
      <c r="L1" s="294">
        <v>2</v>
      </c>
      <c r="M1" s="293"/>
      <c r="N1" s="293" t="s">
        <v>36</v>
      </c>
      <c r="Q1" s="229" t="s">
        <v>193</v>
      </c>
      <c r="R1" s="56"/>
      <c r="S1" s="56"/>
      <c r="T1" s="1">
        <f ca="1">INDIRECT("eq"&amp;R11)</f>
        <v>6</v>
      </c>
      <c r="U1" s="233">
        <f ca="1">T1</f>
        <v>6</v>
      </c>
    </row>
    <row r="2" spans="1:22" ht="21.95" customHeight="1" x14ac:dyDescent="0.35">
      <c r="A2" s="28">
        <f ca="1">U1</f>
        <v>6</v>
      </c>
      <c r="C2" s="395" t="str">
        <f>"FETE DU VOLLEY "&amp;Init!C6&amp;" / "&amp;Init!D6</f>
        <v>FETE DU VOLLEY 2022 / 2023</v>
      </c>
      <c r="D2" s="395"/>
      <c r="E2" s="395"/>
      <c r="F2" s="395"/>
      <c r="G2" s="395"/>
      <c r="H2" s="395"/>
      <c r="I2" s="395"/>
      <c r="L2" s="293"/>
      <c r="M2" s="293"/>
      <c r="N2" s="293" t="s">
        <v>62</v>
      </c>
      <c r="Q2" s="102">
        <v>1</v>
      </c>
      <c r="R2" s="88" t="s">
        <v>60</v>
      </c>
      <c r="T2" t="str">
        <f ca="1">"groupe"&amp;U1</f>
        <v>groupe6</v>
      </c>
    </row>
    <row r="3" spans="1:22" ht="21.95" customHeight="1" x14ac:dyDescent="0.35">
      <c r="C3" s="395" t="str">
        <f>"GYMNASE" &amp;" "&amp;R5</f>
        <v>GYMNASE Lycée</v>
      </c>
      <c r="D3" s="395"/>
      <c r="E3" s="395"/>
      <c r="F3" s="395"/>
      <c r="G3" s="395"/>
      <c r="H3" s="395"/>
      <c r="I3" s="395"/>
      <c r="L3" s="293"/>
      <c r="M3" s="293"/>
      <c r="N3" s="293" t="s">
        <v>63</v>
      </c>
      <c r="R3" s="88" t="s">
        <v>61</v>
      </c>
    </row>
    <row r="4" spans="1:22" ht="15" customHeight="1" x14ac:dyDescent="0.35">
      <c r="C4" s="120"/>
      <c r="D4" s="51"/>
      <c r="E4" s="122"/>
      <c r="F4" s="51"/>
      <c r="G4" s="120"/>
      <c r="H4" s="51"/>
      <c r="I4" s="51"/>
      <c r="M4" s="53"/>
    </row>
    <row r="5" spans="1:22" ht="23.25" x14ac:dyDescent="0.35">
      <c r="C5" s="124"/>
      <c r="E5" s="65"/>
      <c r="F5" s="137"/>
      <c r="G5" s="120"/>
      <c r="H5" s="51"/>
      <c r="I5" s="226"/>
      <c r="M5" s="6"/>
      <c r="P5" s="6"/>
      <c r="R5" t="str">
        <f>IF(Q2=1,"Lycée","Tourrier")</f>
        <v>Lycée</v>
      </c>
    </row>
    <row r="6" spans="1:22" ht="18.75" customHeight="1" thickBot="1" x14ac:dyDescent="0.35">
      <c r="C6" s="90"/>
      <c r="D6" s="140" t="str">
        <f>"Matches Terrain N° " &amp;L1</f>
        <v>Matches Terrain N° 2</v>
      </c>
      <c r="E6" s="82"/>
      <c r="F6" s="82"/>
      <c r="H6" s="396" t="s">
        <v>132</v>
      </c>
      <c r="I6" s="396"/>
      <c r="M6" s="6"/>
      <c r="N6" s="308"/>
      <c r="O6" s="6"/>
      <c r="P6" s="6"/>
      <c r="S6" s="317"/>
      <c r="T6" s="318" t="s">
        <v>196</v>
      </c>
      <c r="U6" s="317"/>
      <c r="V6" s="317"/>
    </row>
    <row r="7" spans="1:22" s="6" customFormat="1" ht="33" customHeight="1" x14ac:dyDescent="0.2">
      <c r="A7" s="291" t="str">
        <f>Init!P8</f>
        <v>12:0</v>
      </c>
      <c r="B7" s="304">
        <v>1</v>
      </c>
      <c r="C7" s="22" t="str">
        <f ca="1">T7</f>
        <v>A2</v>
      </c>
      <c r="D7" s="299" t="str">
        <f ca="1">VLOOKUP(C7,INDIRECT($R$11),2)</f>
        <v>TG3</v>
      </c>
      <c r="E7" s="300" t="s">
        <v>9</v>
      </c>
      <c r="F7" s="299" t="str">
        <f ca="1">VLOOKUP(G7,INDIRECT($R$11),2)</f>
        <v>2n10</v>
      </c>
      <c r="G7" s="283" t="str">
        <f ca="1">U7</f>
        <v>B2</v>
      </c>
      <c r="H7" s="92"/>
      <c r="I7" s="366" t="str">
        <f>VLOOKUP(P49,pool_arb,2)</f>
        <v>MIR Lucie</v>
      </c>
      <c r="L7" s="1"/>
      <c r="N7" s="308"/>
      <c r="P7" s="230"/>
      <c r="S7" s="319">
        <v>1</v>
      </c>
      <c r="T7" s="320" t="str">
        <f ca="1">VLOOKUP(S7,INDIRECT($T$2),2)&amp;$L$1</f>
        <v>A2</v>
      </c>
      <c r="U7" s="320" t="str">
        <f ca="1">VLOOKUP(S7,INDIRECT($T$2),3)&amp;$L$1</f>
        <v>B2</v>
      </c>
      <c r="V7" s="319"/>
    </row>
    <row r="8" spans="1:22" s="6" customFormat="1" ht="3" customHeight="1" x14ac:dyDescent="0.2">
      <c r="A8" s="133"/>
      <c r="B8" s="125"/>
      <c r="C8" s="309"/>
      <c r="D8" s="85"/>
      <c r="E8" s="90"/>
      <c r="F8" s="85"/>
      <c r="G8" s="309"/>
      <c r="H8" s="92"/>
      <c r="I8" s="367"/>
      <c r="L8" s="1"/>
      <c r="P8" s="53"/>
      <c r="S8" s="319"/>
      <c r="T8" s="320"/>
      <c r="U8" s="320"/>
      <c r="V8" s="319"/>
    </row>
    <row r="9" spans="1:22" s="6" customFormat="1" ht="33" customHeight="1" x14ac:dyDescent="0.2">
      <c r="A9" s="302">
        <f>A7+Init!P5</f>
        <v>0.50694444444444442</v>
      </c>
      <c r="B9" s="304">
        <v>2</v>
      </c>
      <c r="C9" s="22" t="str">
        <f ca="1">T9</f>
        <v>C2</v>
      </c>
      <c r="D9" s="299" t="str">
        <f ca="1">VLOOKUP(C9,INDIRECT($R$11),2)</f>
        <v>1G2</v>
      </c>
      <c r="E9" s="300" t="s">
        <v>9</v>
      </c>
      <c r="F9" s="299" t="str">
        <f ca="1">VLOOKUP(G9,INDIRECT($R$11),2)</f>
        <v>2n6</v>
      </c>
      <c r="G9" s="283" t="str">
        <f ca="1">U9</f>
        <v>D2</v>
      </c>
      <c r="H9" s="92"/>
      <c r="I9" s="367"/>
      <c r="L9" s="1"/>
      <c r="N9" s="53"/>
      <c r="S9" s="319">
        <v>2</v>
      </c>
      <c r="T9" s="320" t="str">
        <f ca="1">VLOOKUP(S9,INDIRECT($T$2),2)&amp;$L$1</f>
        <v>C2</v>
      </c>
      <c r="U9" s="320" t="str">
        <f ca="1">VLOOKUP(S9,INDIRECT($T$2),3)&amp;$L$1</f>
        <v>D2</v>
      </c>
      <c r="V9" s="319"/>
    </row>
    <row r="10" spans="1:22" s="6" customFormat="1" ht="3" customHeight="1" x14ac:dyDescent="0.2">
      <c r="A10" s="133"/>
      <c r="B10" s="125"/>
      <c r="C10" s="309"/>
      <c r="D10" s="85"/>
      <c r="E10" s="90"/>
      <c r="F10" s="85"/>
      <c r="G10" s="309"/>
      <c r="H10" s="92"/>
      <c r="I10" s="367"/>
      <c r="L10" s="1"/>
      <c r="S10" s="319"/>
      <c r="T10" s="321"/>
      <c r="U10" s="321"/>
      <c r="V10" s="319"/>
    </row>
    <row r="11" spans="1:22" s="6" customFormat="1" ht="33" customHeight="1" x14ac:dyDescent="0.2">
      <c r="A11" s="302">
        <f>A9+Init!P5</f>
        <v>0.51388888888888884</v>
      </c>
      <c r="B11" s="304">
        <v>3</v>
      </c>
      <c r="C11" s="22" t="str">
        <f ca="1">T11</f>
        <v>F2</v>
      </c>
      <c r="D11" s="299" t="str">
        <f ca="1">VLOOKUP(C11,INDIRECT($R$11),2)</f>
        <v>1G6</v>
      </c>
      <c r="E11" s="300" t="s">
        <v>9</v>
      </c>
      <c r="F11" s="299" t="str">
        <f ca="1">VLOOKUP(G11,INDIRECT($R$11),2)</f>
        <v>TSTMG1</v>
      </c>
      <c r="G11" s="283" t="str">
        <f ca="1">U11</f>
        <v>E2</v>
      </c>
      <c r="H11" s="92"/>
      <c r="I11" s="368"/>
      <c r="L11" s="1"/>
      <c r="P11" s="53"/>
      <c r="R11" s="6" t="str">
        <f>R13&amp;"T"&amp;L1</f>
        <v>LycT2</v>
      </c>
      <c r="S11" s="319">
        <v>3</v>
      </c>
      <c r="T11" s="320" t="str">
        <f ca="1">VLOOKUP(S11,INDIRECT($T$2),2)&amp;$L$1</f>
        <v>F2</v>
      </c>
      <c r="U11" s="320" t="str">
        <f ca="1">VLOOKUP(S11,INDIRECT($T$2),3)&amp;$L$1</f>
        <v>E2</v>
      </c>
      <c r="V11" s="319"/>
    </row>
    <row r="12" spans="1:22" s="6" customFormat="1" ht="3" customHeight="1" x14ac:dyDescent="0.2">
      <c r="A12" s="133"/>
      <c r="B12" s="125"/>
      <c r="C12" s="309"/>
      <c r="D12" s="85"/>
      <c r="E12" s="90"/>
      <c r="F12" s="85"/>
      <c r="G12" s="309"/>
      <c r="H12" s="92"/>
      <c r="I12" s="367"/>
      <c r="L12" s="1"/>
      <c r="M12"/>
      <c r="N12"/>
      <c r="O12"/>
      <c r="P12"/>
      <c r="S12" s="319"/>
      <c r="T12" s="321"/>
      <c r="U12" s="321"/>
      <c r="V12" s="319"/>
    </row>
    <row r="13" spans="1:22" s="6" customFormat="1" ht="33" customHeight="1" x14ac:dyDescent="0.2">
      <c r="A13" s="302">
        <f>A11+Init!P5</f>
        <v>0.52083333333333326</v>
      </c>
      <c r="B13" s="304">
        <v>4</v>
      </c>
      <c r="C13" s="22" t="str">
        <f ca="1">T13</f>
        <v>B2</v>
      </c>
      <c r="D13" s="299" t="str">
        <f ca="1">VLOOKUP(C13,INDIRECT($R$11),2)</f>
        <v>2n10</v>
      </c>
      <c r="E13" s="300" t="s">
        <v>9</v>
      </c>
      <c r="F13" s="299" t="str">
        <f ca="1">VLOOKUP(G13,INDIRECT($R$11),2)</f>
        <v>2n6</v>
      </c>
      <c r="G13" s="283" t="str">
        <f ca="1">U13</f>
        <v>D2</v>
      </c>
      <c r="H13" s="92"/>
      <c r="I13" s="369" t="str">
        <f>VLOOKUP(P49,pool_arb,3)</f>
        <v>PREVOTEAU Lucie</v>
      </c>
      <c r="L13" s="1"/>
      <c r="M13"/>
      <c r="N13"/>
      <c r="O13"/>
      <c r="P13"/>
      <c r="R13" s="6" t="str">
        <f>IF(Q2=1,"Lyc","Tou")</f>
        <v>Lyc</v>
      </c>
      <c r="S13" s="319">
        <v>4</v>
      </c>
      <c r="T13" s="320" t="str">
        <f ca="1">VLOOKUP(S13,INDIRECT($T$2),2)&amp;$L$1</f>
        <v>B2</v>
      </c>
      <c r="U13" s="320" t="str">
        <f ca="1">VLOOKUP(S13,INDIRECT($T$2),3)&amp;$L$1</f>
        <v>D2</v>
      </c>
      <c r="V13" s="319"/>
    </row>
    <row r="14" spans="1:22" s="6" customFormat="1" ht="3" customHeight="1" x14ac:dyDescent="0.2">
      <c r="A14" s="133"/>
      <c r="B14" s="125"/>
      <c r="C14" s="309"/>
      <c r="D14" s="85"/>
      <c r="E14" s="90"/>
      <c r="F14" s="85"/>
      <c r="G14" s="309"/>
      <c r="H14" s="92"/>
      <c r="I14" s="367"/>
      <c r="L14" s="1"/>
      <c r="M14"/>
      <c r="N14"/>
      <c r="O14"/>
      <c r="P14"/>
      <c r="S14" s="319"/>
      <c r="T14" s="321"/>
      <c r="U14" s="321"/>
      <c r="V14" s="319"/>
    </row>
    <row r="15" spans="1:22" s="6" customFormat="1" ht="33" customHeight="1" x14ac:dyDescent="0.2">
      <c r="A15" s="302">
        <f>A13+Init!P5</f>
        <v>0.52777777777777768</v>
      </c>
      <c r="B15" s="304">
        <v>5</v>
      </c>
      <c r="C15" s="22" t="str">
        <f ca="1">T15</f>
        <v>C2</v>
      </c>
      <c r="D15" s="299" t="str">
        <f ca="1">VLOOKUP(C15,INDIRECT($R$11),2)</f>
        <v>1G2</v>
      </c>
      <c r="E15" s="300" t="s">
        <v>9</v>
      </c>
      <c r="F15" s="299" t="str">
        <f ca="1">VLOOKUP(G15,INDIRECT($R$11),2)</f>
        <v>TSTMG1</v>
      </c>
      <c r="G15" s="283" t="str">
        <f ca="1">U15</f>
        <v>E2</v>
      </c>
      <c r="H15" s="92"/>
      <c r="I15" s="368"/>
      <c r="L15" s="1"/>
      <c r="M15"/>
      <c r="N15"/>
      <c r="O15"/>
      <c r="P15"/>
      <c r="Q15" s="53"/>
      <c r="S15" s="319">
        <v>5</v>
      </c>
      <c r="T15" s="320" t="str">
        <f ca="1">VLOOKUP(S15,INDIRECT($T$2),2)&amp;$L$1</f>
        <v>C2</v>
      </c>
      <c r="U15" s="320" t="str">
        <f ca="1">VLOOKUP(S15,INDIRECT($T$2),3)&amp;$L$1</f>
        <v>E2</v>
      </c>
      <c r="V15" s="319"/>
    </row>
    <row r="16" spans="1:22" s="6" customFormat="1" ht="3" customHeight="1" x14ac:dyDescent="0.2">
      <c r="A16" s="133"/>
      <c r="B16" s="125"/>
      <c r="C16" s="309"/>
      <c r="D16" s="85"/>
      <c r="E16" s="90"/>
      <c r="F16" s="85"/>
      <c r="G16" s="309"/>
      <c r="H16" s="92"/>
      <c r="I16" s="367"/>
      <c r="L16" s="1"/>
      <c r="M16"/>
      <c r="N16"/>
      <c r="O16"/>
      <c r="P16"/>
      <c r="S16" s="319"/>
      <c r="T16" s="321"/>
      <c r="U16" s="321"/>
      <c r="V16" s="319"/>
    </row>
    <row r="17" spans="1:22" s="6" customFormat="1" ht="33" customHeight="1" x14ac:dyDescent="0.2">
      <c r="A17" s="302">
        <f>A15+Init!P5</f>
        <v>0.5347222222222221</v>
      </c>
      <c r="B17" s="304">
        <v>6</v>
      </c>
      <c r="C17" s="22" t="str">
        <f ca="1">T17</f>
        <v>D2</v>
      </c>
      <c r="D17" s="299" t="str">
        <f ca="1">VLOOKUP(C17,INDIRECT($R$11),2)</f>
        <v>2n6</v>
      </c>
      <c r="E17" s="300" t="s">
        <v>9</v>
      </c>
      <c r="F17" s="299" t="str">
        <f ca="1">VLOOKUP(G17,INDIRECT($R$11),2)</f>
        <v>TG3</v>
      </c>
      <c r="G17" s="283" t="str">
        <f ca="1">U17</f>
        <v>A2</v>
      </c>
      <c r="H17" s="92"/>
      <c r="I17" s="368"/>
      <c r="L17" s="1"/>
      <c r="M17"/>
      <c r="N17"/>
      <c r="O17"/>
      <c r="P17"/>
      <c r="S17" s="319">
        <v>6</v>
      </c>
      <c r="T17" s="320" t="str">
        <f ca="1">VLOOKUP(S17,INDIRECT($T$2),2)&amp;$L$1</f>
        <v>D2</v>
      </c>
      <c r="U17" s="320" t="str">
        <f ca="1">VLOOKUP(S17,INDIRECT($T$2),3)&amp;$L$1</f>
        <v>A2</v>
      </c>
      <c r="V17" s="319"/>
    </row>
    <row r="18" spans="1:22" s="6" customFormat="1" ht="3" customHeight="1" x14ac:dyDescent="0.2">
      <c r="A18" s="133"/>
      <c r="B18" s="125"/>
      <c r="C18" s="309"/>
      <c r="D18" s="85"/>
      <c r="E18" s="90"/>
      <c r="F18" s="85"/>
      <c r="G18" s="309"/>
      <c r="H18" s="92"/>
      <c r="I18" s="367"/>
      <c r="L18" s="1"/>
      <c r="M18"/>
      <c r="N18"/>
      <c r="O18"/>
      <c r="P18"/>
      <c r="S18" s="319"/>
      <c r="T18" s="321"/>
      <c r="U18" s="321"/>
      <c r="V18" s="319"/>
    </row>
    <row r="19" spans="1:22" s="6" customFormat="1" ht="33" customHeight="1" x14ac:dyDescent="0.2">
      <c r="A19" s="302">
        <f>A17+Init!P5</f>
        <v>0.54166666666666652</v>
      </c>
      <c r="B19" s="304">
        <v>7</v>
      </c>
      <c r="C19" s="22" t="str">
        <f ca="1">T19</f>
        <v>B2</v>
      </c>
      <c r="D19" s="52" t="str">
        <f ca="1">VLOOKUP(C19,INDIRECT($R$11),2)</f>
        <v>2n10</v>
      </c>
      <c r="E19" s="300" t="s">
        <v>9</v>
      </c>
      <c r="F19" s="52" t="str">
        <f ca="1">VLOOKUP(G19,INDIRECT($R$11),2)</f>
        <v>1G2</v>
      </c>
      <c r="G19" s="22" t="str">
        <f ca="1">U19</f>
        <v>C2</v>
      </c>
      <c r="H19" s="92"/>
      <c r="I19" s="369" t="str">
        <f>VLOOKUP(P49,pool_arb,4)</f>
        <v>LANGONNET Jules</v>
      </c>
      <c r="L19" s="1"/>
      <c r="M19"/>
      <c r="N19"/>
      <c r="O19"/>
      <c r="P19"/>
      <c r="Q19" s="53"/>
      <c r="S19" s="319">
        <v>7</v>
      </c>
      <c r="T19" s="320" t="str">
        <f ca="1">VLOOKUP(S19,INDIRECT($T$2),2)&amp;$L$1</f>
        <v>B2</v>
      </c>
      <c r="U19" s="320" t="str">
        <f ca="1">VLOOKUP(S19,INDIRECT($T$2),3)&amp;$L$1</f>
        <v>C2</v>
      </c>
      <c r="V19" s="319"/>
    </row>
    <row r="20" spans="1:22" s="6" customFormat="1" ht="3" customHeight="1" x14ac:dyDescent="0.2">
      <c r="A20" s="133"/>
      <c r="B20" s="125"/>
      <c r="C20" s="309"/>
      <c r="D20" s="85"/>
      <c r="E20" s="90"/>
      <c r="F20" s="85"/>
      <c r="G20" s="309"/>
      <c r="H20" s="92"/>
      <c r="I20" s="367"/>
      <c r="L20" s="1"/>
      <c r="M20"/>
      <c r="N20"/>
      <c r="O20"/>
      <c r="P20"/>
      <c r="S20" s="319"/>
      <c r="T20" s="321"/>
      <c r="U20" s="321"/>
      <c r="V20" s="319"/>
    </row>
    <row r="21" spans="1:22" s="6" customFormat="1" ht="33" customHeight="1" x14ac:dyDescent="0.2">
      <c r="A21" s="302">
        <f>A19+Init!P5</f>
        <v>0.54861111111111094</v>
      </c>
      <c r="B21" s="304">
        <v>8</v>
      </c>
      <c r="C21" s="22" t="str">
        <f ca="1">T21</f>
        <v>F2</v>
      </c>
      <c r="D21" s="52" t="str">
        <f ca="1">VLOOKUP(C21,INDIRECT($R$11),2)</f>
        <v>1G6</v>
      </c>
      <c r="E21" s="300" t="s">
        <v>9</v>
      </c>
      <c r="F21" s="52" t="str">
        <f ca="1">VLOOKUP(G21,INDIRECT($R$11),2)</f>
        <v>TG3</v>
      </c>
      <c r="G21" s="22" t="str">
        <f ca="1">U21</f>
        <v>A2</v>
      </c>
      <c r="H21" s="92"/>
      <c r="I21" s="367"/>
      <c r="L21" s="1"/>
      <c r="M21"/>
      <c r="N21"/>
      <c r="O21"/>
      <c r="P21"/>
      <c r="S21" s="319">
        <v>8</v>
      </c>
      <c r="T21" s="320" t="str">
        <f ca="1">VLOOKUP(S21,INDIRECT($T$2),2)&amp;$L$1</f>
        <v>F2</v>
      </c>
      <c r="U21" s="320" t="str">
        <f ca="1">VLOOKUP(S21,INDIRECT($T$2),3)&amp;$L$1</f>
        <v>A2</v>
      </c>
      <c r="V21" s="319"/>
    </row>
    <row r="22" spans="1:22" s="6" customFormat="1" ht="3" customHeight="1" x14ac:dyDescent="0.2">
      <c r="A22" s="133"/>
      <c r="B22" s="125"/>
      <c r="C22" s="310"/>
      <c r="D22" s="141"/>
      <c r="E22" s="90"/>
      <c r="F22" s="141"/>
      <c r="G22" s="309"/>
      <c r="H22" s="92"/>
      <c r="I22" s="367"/>
      <c r="L22" s="1"/>
      <c r="M22"/>
      <c r="N22"/>
      <c r="O22"/>
      <c r="P22"/>
      <c r="S22" s="319"/>
      <c r="T22" s="321"/>
      <c r="U22" s="321"/>
      <c r="V22" s="319"/>
    </row>
    <row r="23" spans="1:22" s="6" customFormat="1" ht="33" customHeight="1" x14ac:dyDescent="0.2">
      <c r="A23" s="302">
        <f>A21+Init!P5</f>
        <v>0.55555555555555536</v>
      </c>
      <c r="B23" s="304">
        <v>9</v>
      </c>
      <c r="C23" s="22" t="str">
        <f ca="1">T23</f>
        <v>C2</v>
      </c>
      <c r="D23" s="52" t="str">
        <f ca="1">VLOOKUP(C23,INDIRECT($R$11),2)</f>
        <v>1G2</v>
      </c>
      <c r="E23" s="300" t="s">
        <v>9</v>
      </c>
      <c r="F23" s="52" t="str">
        <f ca="1">VLOOKUP(G23,INDIRECT($R$11),2)</f>
        <v>1G6</v>
      </c>
      <c r="G23" s="22" t="str">
        <f ca="1">U23</f>
        <v>F2</v>
      </c>
      <c r="H23" s="92"/>
      <c r="I23" s="368"/>
      <c r="L23" s="1"/>
      <c r="M23"/>
      <c r="N23"/>
      <c r="O23"/>
      <c r="P23"/>
      <c r="S23" s="322">
        <v>9</v>
      </c>
      <c r="T23" s="320" t="str">
        <f ca="1">VLOOKUP(S23,INDIRECT($T$2),2)&amp;$L$1</f>
        <v>C2</v>
      </c>
      <c r="U23" s="320" t="str">
        <f ca="1">VLOOKUP(S23,INDIRECT($T$2),3)&amp;$L$1</f>
        <v>F2</v>
      </c>
      <c r="V23" s="319"/>
    </row>
    <row r="24" spans="1:22" s="6" customFormat="1" ht="3" customHeight="1" x14ac:dyDescent="0.2">
      <c r="A24" s="133"/>
      <c r="B24" s="125"/>
      <c r="C24" s="310"/>
      <c r="D24" s="141"/>
      <c r="E24" s="90"/>
      <c r="F24" s="141"/>
      <c r="G24" s="312"/>
      <c r="H24" s="92"/>
      <c r="I24" s="367"/>
      <c r="L24" s="1"/>
      <c r="M24"/>
      <c r="N24"/>
      <c r="O24"/>
      <c r="P24"/>
      <c r="S24" s="319"/>
      <c r="T24" s="321"/>
      <c r="U24" s="321"/>
      <c r="V24" s="319"/>
    </row>
    <row r="25" spans="1:22" s="6" customFormat="1" ht="33" customHeight="1" x14ac:dyDescent="0.2">
      <c r="A25" s="302">
        <f>A23+Init!P5</f>
        <v>0.56249999999999978</v>
      </c>
      <c r="B25" s="304">
        <v>10</v>
      </c>
      <c r="C25" s="22" t="str">
        <f ca="1">T25</f>
        <v>D2</v>
      </c>
      <c r="D25" s="52" t="str">
        <f ca="1">VLOOKUP(C25,INDIRECT($R$11),2)</f>
        <v>2n6</v>
      </c>
      <c r="E25" s="300" t="s">
        <v>9</v>
      </c>
      <c r="F25" s="52" t="str">
        <f ca="1">VLOOKUP(G25,INDIRECT($R$11),2)</f>
        <v>TSTMG1</v>
      </c>
      <c r="G25" s="22" t="str">
        <f ca="1">U25</f>
        <v>E2</v>
      </c>
      <c r="H25" s="92"/>
      <c r="I25" s="369" t="str">
        <f>VLOOKUP(P49,pool_arb,5)</f>
        <v>BUET-PES Joée</v>
      </c>
      <c r="L25" s="1"/>
      <c r="M25"/>
      <c r="N25"/>
      <c r="O25"/>
      <c r="P25"/>
      <c r="S25" s="319">
        <v>10</v>
      </c>
      <c r="T25" s="320" t="str">
        <f ca="1">VLOOKUP(S25,INDIRECT($T$2),2)&amp;$L$1</f>
        <v>D2</v>
      </c>
      <c r="U25" s="320" t="str">
        <f ca="1">VLOOKUP(S25,INDIRECT($T$2),3)&amp;$L$1</f>
        <v>E2</v>
      </c>
      <c r="V25" s="319"/>
    </row>
    <row r="26" spans="1:22" s="6" customFormat="1" ht="3" customHeight="1" x14ac:dyDescent="0.2">
      <c r="A26" s="133"/>
      <c r="B26" s="125"/>
      <c r="C26" s="310"/>
      <c r="D26" s="141"/>
      <c r="E26" s="90"/>
      <c r="F26" s="141"/>
      <c r="G26" s="310"/>
      <c r="H26" s="92"/>
      <c r="I26" s="367"/>
      <c r="L26" s="1"/>
      <c r="M26"/>
      <c r="N26"/>
      <c r="O26"/>
      <c r="P26"/>
      <c r="Q26"/>
      <c r="R26"/>
      <c r="S26" s="319"/>
      <c r="T26" s="321"/>
      <c r="U26" s="321"/>
      <c r="V26" s="317"/>
    </row>
    <row r="27" spans="1:22" s="6" customFormat="1" ht="33" customHeight="1" x14ac:dyDescent="0.2">
      <c r="A27" s="302">
        <f>A25+Init!P5</f>
        <v>0.5694444444444442</v>
      </c>
      <c r="B27" s="304">
        <v>11</v>
      </c>
      <c r="C27" s="22" t="str">
        <f ca="1">T27</f>
        <v>A2</v>
      </c>
      <c r="D27" s="52" t="str">
        <f ca="1">VLOOKUP(C27,INDIRECT($R$11),2)</f>
        <v>TG3</v>
      </c>
      <c r="E27" s="300" t="s">
        <v>9</v>
      </c>
      <c r="F27" s="52" t="str">
        <f ca="1">VLOOKUP(G27,INDIRECT($R$11),2)</f>
        <v>1G2</v>
      </c>
      <c r="G27" s="22" t="str">
        <f ca="1">U27</f>
        <v>C2</v>
      </c>
      <c r="H27" s="92"/>
      <c r="I27" s="368"/>
      <c r="L27" s="1"/>
      <c r="M27"/>
      <c r="N27"/>
      <c r="O27"/>
      <c r="P27"/>
      <c r="Q27"/>
      <c r="R27"/>
      <c r="S27" s="319">
        <v>11</v>
      </c>
      <c r="T27" s="320" t="str">
        <f ca="1">VLOOKUP(S27,INDIRECT($T$2),2)&amp;$L$1</f>
        <v>A2</v>
      </c>
      <c r="U27" s="320" t="str">
        <f ca="1">VLOOKUP(S27,INDIRECT($T$2),3)&amp;$L$1</f>
        <v>C2</v>
      </c>
      <c r="V27" s="317"/>
    </row>
    <row r="28" spans="1:22" s="6" customFormat="1" ht="3" customHeight="1" x14ac:dyDescent="0.2">
      <c r="A28" s="133"/>
      <c r="B28" s="125"/>
      <c r="C28" s="310"/>
      <c r="D28" s="141"/>
      <c r="E28" s="90"/>
      <c r="F28" s="141"/>
      <c r="G28" s="313"/>
      <c r="H28" s="92"/>
      <c r="I28" s="367"/>
      <c r="L28" s="1"/>
      <c r="M28"/>
      <c r="N28"/>
      <c r="O28"/>
      <c r="P28"/>
      <c r="Q28"/>
      <c r="R28"/>
      <c r="S28" s="319"/>
      <c r="T28" s="321"/>
      <c r="U28" s="321"/>
      <c r="V28" s="317"/>
    </row>
    <row r="29" spans="1:22" s="6" customFormat="1" ht="33" customHeight="1" x14ac:dyDescent="0.2">
      <c r="A29" s="302">
        <f>A27+Init!P5</f>
        <v>0.57638888888888862</v>
      </c>
      <c r="B29" s="304">
        <v>12</v>
      </c>
      <c r="C29" s="22" t="str">
        <f ca="1">T29</f>
        <v>B2</v>
      </c>
      <c r="D29" s="52" t="str">
        <f ca="1">VLOOKUP(C29,INDIRECT($R$11),2)</f>
        <v>2n10</v>
      </c>
      <c r="E29" s="300" t="s">
        <v>9</v>
      </c>
      <c r="F29" s="52" t="str">
        <f ca="1">VLOOKUP(G29,INDIRECT($R$11),2)</f>
        <v>1G6</v>
      </c>
      <c r="G29" s="22" t="str">
        <f ca="1">U29</f>
        <v>F2</v>
      </c>
      <c r="H29" s="92"/>
      <c r="I29" s="368"/>
      <c r="L29" s="1"/>
      <c r="M29"/>
      <c r="N29"/>
      <c r="O29"/>
      <c r="P29"/>
      <c r="Q29"/>
      <c r="R29"/>
      <c r="S29" s="319">
        <v>12</v>
      </c>
      <c r="T29" s="320" t="str">
        <f ca="1">VLOOKUP(S29,INDIRECT($T$2),2)&amp;$L$1</f>
        <v>B2</v>
      </c>
      <c r="U29" s="320" t="str">
        <f ca="1">VLOOKUP(S29,INDIRECT($T$2),3)&amp;$L$1</f>
        <v>F2</v>
      </c>
      <c r="V29" s="317"/>
    </row>
    <row r="30" spans="1:22" s="6" customFormat="1" ht="3" customHeight="1" x14ac:dyDescent="0.2">
      <c r="A30" s="133"/>
      <c r="B30" s="125"/>
      <c r="C30" s="310"/>
      <c r="D30" s="141"/>
      <c r="E30" s="90"/>
      <c r="F30" s="141"/>
      <c r="G30" s="312"/>
      <c r="H30" s="92"/>
      <c r="I30" s="367"/>
      <c r="L30" s="1"/>
      <c r="M30"/>
      <c r="N30"/>
      <c r="O30"/>
      <c r="P30"/>
      <c r="Q30"/>
      <c r="R30"/>
      <c r="S30" s="319"/>
      <c r="T30" s="321"/>
      <c r="U30" s="321"/>
      <c r="V30" s="317"/>
    </row>
    <row r="31" spans="1:22" s="6" customFormat="1" ht="33" customHeight="1" x14ac:dyDescent="0.2">
      <c r="A31" s="302">
        <f>A29+Init!P5</f>
        <v>0.58333333333333304</v>
      </c>
      <c r="B31" s="304">
        <v>13</v>
      </c>
      <c r="C31" s="22" t="str">
        <f ca="1">T31</f>
        <v>A2</v>
      </c>
      <c r="D31" s="52" t="str">
        <f ca="1">VLOOKUP(C31,INDIRECT($R$11),2)</f>
        <v>TG3</v>
      </c>
      <c r="E31" s="300" t="s">
        <v>9</v>
      </c>
      <c r="F31" s="52" t="str">
        <f ca="1">VLOOKUP(G31,INDIRECT($R$11),2)</f>
        <v>TSTMG1</v>
      </c>
      <c r="G31" s="22" t="str">
        <f ca="1">U31</f>
        <v>E2</v>
      </c>
      <c r="H31" s="92"/>
      <c r="I31" s="369" t="str">
        <f>VLOOKUP(P49,pool_arb,6)</f>
        <v>RAYMOND Lilou</v>
      </c>
      <c r="L31" s="1"/>
      <c r="M31"/>
      <c r="N31"/>
      <c r="O31"/>
      <c r="P31"/>
      <c r="Q31"/>
      <c r="R31"/>
      <c r="S31" s="319">
        <v>13</v>
      </c>
      <c r="T31" s="320" t="str">
        <f ca="1">VLOOKUP(S31,INDIRECT($T$2),2)&amp;$L$1</f>
        <v>A2</v>
      </c>
      <c r="U31" s="320" t="str">
        <f ca="1">VLOOKUP(S31,INDIRECT($T$2),3)&amp;$L$1</f>
        <v>E2</v>
      </c>
      <c r="V31" s="317"/>
    </row>
    <row r="32" spans="1:22" s="6" customFormat="1" ht="3" customHeight="1" x14ac:dyDescent="0.2">
      <c r="A32" s="133"/>
      <c r="B32" s="125"/>
      <c r="C32" s="310"/>
      <c r="D32" s="141"/>
      <c r="E32" s="90"/>
      <c r="F32" s="141"/>
      <c r="G32" s="310"/>
      <c r="H32" s="92"/>
      <c r="I32" s="367"/>
      <c r="L32" s="1"/>
      <c r="M32"/>
      <c r="N32"/>
      <c r="O32"/>
      <c r="P32"/>
      <c r="Q32"/>
      <c r="R32"/>
      <c r="S32" s="319"/>
      <c r="T32" s="321"/>
      <c r="U32" s="321"/>
      <c r="V32" s="317"/>
    </row>
    <row r="33" spans="1:22" s="6" customFormat="1" ht="33" customHeight="1" x14ac:dyDescent="0.2">
      <c r="A33" s="303">
        <f>A31+Init!P5</f>
        <v>0.59027777777777746</v>
      </c>
      <c r="B33" s="304">
        <v>14</v>
      </c>
      <c r="C33" s="22" t="str">
        <f ca="1">T33</f>
        <v>D2</v>
      </c>
      <c r="D33" s="52" t="str">
        <f ca="1">VLOOKUP(C33,INDIRECT($R$11),2)</f>
        <v>2n6</v>
      </c>
      <c r="E33" s="300" t="s">
        <v>9</v>
      </c>
      <c r="F33" s="52" t="str">
        <f ca="1">VLOOKUP(G33,INDIRECT($R$11),2)</f>
        <v>1G6</v>
      </c>
      <c r="G33" s="22" t="str">
        <f ca="1">U33</f>
        <v>F2</v>
      </c>
      <c r="H33" s="92"/>
      <c r="I33" s="367"/>
      <c r="L33" s="1"/>
      <c r="M33"/>
      <c r="N33"/>
      <c r="O33"/>
      <c r="P33"/>
      <c r="Q33"/>
      <c r="R33"/>
      <c r="S33" s="319">
        <v>14</v>
      </c>
      <c r="T33" s="320" t="str">
        <f ca="1">VLOOKUP(S33,INDIRECT($T$2),2)&amp;$L$1</f>
        <v>D2</v>
      </c>
      <c r="U33" s="320" t="str">
        <f ca="1">VLOOKUP(S33,INDIRECT($T$2),3)&amp;$L$1</f>
        <v>F2</v>
      </c>
      <c r="V33" s="317"/>
    </row>
    <row r="34" spans="1:22" s="6" customFormat="1" ht="3" customHeight="1" x14ac:dyDescent="0.2">
      <c r="A34" s="133"/>
      <c r="B34" s="125"/>
      <c r="C34" s="310"/>
      <c r="D34" s="141"/>
      <c r="E34" s="90"/>
      <c r="F34" s="141"/>
      <c r="G34" s="310"/>
      <c r="H34" s="92"/>
      <c r="I34" s="367"/>
      <c r="L34" s="1"/>
      <c r="M34"/>
      <c r="N34"/>
      <c r="O34"/>
      <c r="P34"/>
      <c r="S34" s="319"/>
      <c r="T34" s="321"/>
      <c r="U34" s="321"/>
      <c r="V34" s="317"/>
    </row>
    <row r="35" spans="1:22" s="6" customFormat="1" ht="33" customHeight="1" x14ac:dyDescent="0.2">
      <c r="A35" s="303">
        <f>A33+Init!P5</f>
        <v>0.59722222222222188</v>
      </c>
      <c r="B35" s="125">
        <v>15</v>
      </c>
      <c r="C35" s="22" t="str">
        <f ca="1">T35</f>
        <v>B2</v>
      </c>
      <c r="D35" s="52" t="str">
        <f ca="1">VLOOKUP(C35,INDIRECT($R$11),2)</f>
        <v>2n10</v>
      </c>
      <c r="E35" s="300" t="s">
        <v>9</v>
      </c>
      <c r="F35" s="52" t="str">
        <f ca="1">VLOOKUP(G35,INDIRECT($R$11),2)</f>
        <v>TSTMG1</v>
      </c>
      <c r="G35" s="22" t="str">
        <f ca="1">U35</f>
        <v>E2</v>
      </c>
      <c r="H35" s="92"/>
      <c r="I35" s="368"/>
      <c r="L35" s="1"/>
      <c r="M35"/>
      <c r="N35"/>
      <c r="O35"/>
      <c r="P35"/>
      <c r="Q35" s="107"/>
      <c r="S35" s="319">
        <v>15</v>
      </c>
      <c r="T35" s="320" t="str">
        <f ca="1">VLOOKUP(S35,INDIRECT($T$2),2)&amp;$L$1</f>
        <v>B2</v>
      </c>
      <c r="U35" s="320" t="str">
        <f ca="1">VLOOKUP(S35,INDIRECT($T$2),3)&amp;$L$1</f>
        <v>E2</v>
      </c>
      <c r="V35" s="317"/>
    </row>
    <row r="36" spans="1:22" ht="3" customHeight="1" x14ac:dyDescent="0.3">
      <c r="A36" s="133"/>
      <c r="B36" s="121"/>
      <c r="C36" s="186"/>
      <c r="D36" s="143"/>
      <c r="E36" s="82"/>
      <c r="F36" s="121"/>
      <c r="G36" s="186"/>
      <c r="H36" s="92"/>
      <c r="I36" s="367"/>
      <c r="S36" s="317"/>
      <c r="T36" s="317"/>
      <c r="U36" s="317"/>
      <c r="V36" s="317"/>
    </row>
    <row r="37" spans="1:22" ht="25.5" x14ac:dyDescent="0.2">
      <c r="A37" s="390">
        <f>A35+Init!P5</f>
        <v>0.6041666666666663</v>
      </c>
      <c r="B37" s="301">
        <v>16</v>
      </c>
      <c r="C37" s="22" t="str">
        <f ca="1">T37</f>
        <v/>
      </c>
      <c r="D37" s="52" t="str">
        <f ca="1">IF(C37="","",VLOOKUP(C37,INDIRECT($R$11),2))</f>
        <v/>
      </c>
      <c r="E37" s="300" t="s">
        <v>9</v>
      </c>
      <c r="F37" s="52" t="str">
        <f ca="1">IF(G37="","",VLOOKUP(G37,INDIRECT($R$11),2))</f>
        <v/>
      </c>
      <c r="G37" s="22" t="str">
        <f ca="1">U37</f>
        <v/>
      </c>
      <c r="H37" s="92"/>
      <c r="I37" s="369" t="str">
        <f>VLOOKUP(P49,pool_arb,7)</f>
        <v>MAIGA Enzo</v>
      </c>
      <c r="J37" s="289"/>
      <c r="S37" s="319" t="str">
        <f ca="1">IF(U1=6,"",16)</f>
        <v/>
      </c>
      <c r="T37" s="320" t="str">
        <f ca="1">IF(S37="","",VLOOKUP(S37,INDIRECT($T$2),2)&amp;$L$1)</f>
        <v/>
      </c>
      <c r="U37" s="320" t="str">
        <f ca="1">IF(S37="","",VLOOKUP(S37,INDIRECT($T$2),3)&amp;$L$1)</f>
        <v/>
      </c>
      <c r="V37" s="317"/>
    </row>
    <row r="38" spans="1:22" ht="3" customHeight="1" x14ac:dyDescent="0.2">
      <c r="A38" s="391"/>
      <c r="B38" s="90"/>
      <c r="C38" s="311"/>
      <c r="D38" s="133"/>
      <c r="E38" s="290"/>
      <c r="F38" s="90"/>
      <c r="G38" s="314"/>
      <c r="H38" s="92"/>
      <c r="I38" s="367"/>
      <c r="J38" s="289"/>
      <c r="S38" s="319"/>
      <c r="T38" s="320"/>
      <c r="U38" s="320"/>
      <c r="V38" s="317"/>
    </row>
    <row r="39" spans="1:22" ht="25.5" x14ac:dyDescent="0.2">
      <c r="A39" s="391"/>
      <c r="B39" s="301">
        <v>17</v>
      </c>
      <c r="C39" s="22" t="str">
        <f ca="1">T39</f>
        <v/>
      </c>
      <c r="D39" s="52" t="str">
        <f ca="1">IF(C39="","",VLOOKUP(C39,INDIRECT($R$11),2))</f>
        <v/>
      </c>
      <c r="E39" s="300" t="s">
        <v>9</v>
      </c>
      <c r="F39" s="52" t="str">
        <f ca="1">IF(G39="","",VLOOKUP(G39,INDIRECT($R$11),2))</f>
        <v/>
      </c>
      <c r="G39" s="22" t="str">
        <f ca="1">U39</f>
        <v/>
      </c>
      <c r="H39" s="92"/>
      <c r="I39" s="367"/>
      <c r="J39" s="289"/>
      <c r="Q39" s="6"/>
      <c r="R39" s="6"/>
      <c r="S39" s="319" t="str">
        <f ca="1">IF($U$1=6,"",17)</f>
        <v/>
      </c>
      <c r="T39" s="320" t="str">
        <f ca="1">IF(S39="","",VLOOKUP(S39,INDIRECT($T$2),2)&amp;$L$1)</f>
        <v/>
      </c>
      <c r="U39" s="320" t="str">
        <f ca="1">IF(S39="","",VLOOKUP(S39,INDIRECT($T$2),3)&amp;$L$1)</f>
        <v/>
      </c>
      <c r="V39" s="317"/>
    </row>
    <row r="40" spans="1:22" ht="3" customHeight="1" x14ac:dyDescent="0.3">
      <c r="A40" s="391"/>
      <c r="B40" s="121"/>
      <c r="C40" s="186"/>
      <c r="D40" s="143"/>
      <c r="E40" s="82"/>
      <c r="F40" s="121"/>
      <c r="G40" s="186"/>
      <c r="H40" s="92"/>
      <c r="I40" s="367"/>
      <c r="Q40" s="6"/>
      <c r="R40" s="6"/>
      <c r="S40" s="319"/>
      <c r="T40" s="317"/>
      <c r="U40" s="317"/>
      <c r="V40" s="317"/>
    </row>
    <row r="41" spans="1:22" ht="25.5" x14ac:dyDescent="0.2">
      <c r="A41" s="392"/>
      <c r="B41" s="301">
        <v>18</v>
      </c>
      <c r="C41" s="22" t="str">
        <f ca="1">T41</f>
        <v/>
      </c>
      <c r="D41" s="52" t="str">
        <f ca="1">IF(C41="","",VLOOKUP(C41,INDIRECT($R$11),2))</f>
        <v/>
      </c>
      <c r="E41" s="300" t="s">
        <v>9</v>
      </c>
      <c r="F41" s="52" t="str">
        <f ca="1">IF(G41="","",VLOOKUP(G41,INDIRECT($R$11),2))</f>
        <v/>
      </c>
      <c r="G41" s="22" t="str">
        <f ca="1">U41</f>
        <v/>
      </c>
      <c r="H41" s="92"/>
      <c r="I41" s="367"/>
      <c r="J41" s="289"/>
      <c r="P41" s="54"/>
      <c r="Q41" s="316" t="s">
        <v>195</v>
      </c>
      <c r="R41" s="297"/>
      <c r="S41" s="319" t="str">
        <f ca="1">IF($U$1=6,"",18)</f>
        <v/>
      </c>
      <c r="T41" s="320" t="str">
        <f ca="1">IF(S41="","",VLOOKUP(S41,INDIRECT($T$2),2)&amp;$L$1)</f>
        <v/>
      </c>
      <c r="U41" s="320" t="str">
        <f ca="1">IF(S41="","",VLOOKUP(S41,INDIRECT($T$2),3)&amp;$L$1)</f>
        <v/>
      </c>
      <c r="V41" s="317"/>
    </row>
    <row r="42" spans="1:22" ht="3" customHeight="1" x14ac:dyDescent="0.3">
      <c r="A42" s="80"/>
      <c r="B42" s="121"/>
      <c r="C42" s="186"/>
      <c r="D42" s="143"/>
      <c r="E42" s="82"/>
      <c r="F42" s="121"/>
      <c r="G42" s="186"/>
      <c r="H42" s="92"/>
      <c r="I42" s="367"/>
      <c r="P42" s="54"/>
      <c r="Q42" s="297"/>
      <c r="R42" s="297"/>
      <c r="S42" s="319"/>
      <c r="T42" s="317"/>
      <c r="U42" s="317"/>
      <c r="V42" s="317"/>
    </row>
    <row r="43" spans="1:22" ht="25.5" x14ac:dyDescent="0.2">
      <c r="A43" s="390">
        <f>A37+Init!P5</f>
        <v>0.61111111111111072</v>
      </c>
      <c r="B43" s="301">
        <v>19</v>
      </c>
      <c r="C43" s="22" t="str">
        <f ca="1">T43</f>
        <v/>
      </c>
      <c r="D43" s="52" t="str">
        <f ca="1">IF(C43="","",VLOOKUP(C43,INDIRECT($R$11),2))</f>
        <v/>
      </c>
      <c r="E43" s="300" t="s">
        <v>9</v>
      </c>
      <c r="F43" s="52" t="str">
        <f ca="1">IF(G43="","",VLOOKUP(G43,INDIRECT($R$11),2))</f>
        <v/>
      </c>
      <c r="G43" s="22" t="str">
        <f ca="1">U43</f>
        <v/>
      </c>
      <c r="H43" s="92"/>
      <c r="I43" s="369">
        <f>VLOOKUP(P49,pool_arb,8)</f>
        <v>0</v>
      </c>
      <c r="J43" s="289"/>
      <c r="P43" s="54"/>
      <c r="Q43" s="297">
        <f>COUNTA(POULE1!C3:C10)</f>
        <v>6</v>
      </c>
      <c r="R43" s="297">
        <f>COUNTA(POULE1!G3:G10)</f>
        <v>6</v>
      </c>
      <c r="S43" s="319" t="str">
        <f ca="1">IF($U$1=6,"",19)</f>
        <v/>
      </c>
      <c r="T43" s="320" t="str">
        <f ca="1">IF(S43="","",VLOOKUP(S43,INDIRECT($T$2),2)&amp;$L$1)</f>
        <v/>
      </c>
      <c r="U43" s="320" t="str">
        <f ca="1">IF(S43="","",VLOOKUP(S43,INDIRECT($T$2),3)&amp;$L$1)</f>
        <v/>
      </c>
      <c r="V43" s="317"/>
    </row>
    <row r="44" spans="1:22" ht="3" customHeight="1" x14ac:dyDescent="0.3">
      <c r="A44" s="393"/>
      <c r="B44" s="121"/>
      <c r="C44" s="186"/>
      <c r="D44" s="143"/>
      <c r="E44" s="82"/>
      <c r="F44" s="121"/>
      <c r="G44" s="186"/>
      <c r="H44" s="92"/>
      <c r="I44" s="367"/>
      <c r="P44" s="54"/>
      <c r="Q44" s="297"/>
      <c r="R44" s="297"/>
      <c r="S44" s="319"/>
      <c r="T44" s="317"/>
      <c r="U44" s="317"/>
      <c r="V44" s="317"/>
    </row>
    <row r="45" spans="1:22" ht="25.5" x14ac:dyDescent="0.2">
      <c r="A45" s="393"/>
      <c r="B45" s="301">
        <v>20</v>
      </c>
      <c r="C45" s="22" t="str">
        <f ca="1">T45</f>
        <v/>
      </c>
      <c r="D45" s="52" t="str">
        <f ca="1">IF(C45="","",VLOOKUP(C45,INDIRECT($R$11),2))</f>
        <v/>
      </c>
      <c r="E45" s="300" t="s">
        <v>9</v>
      </c>
      <c r="F45" s="52" t="str">
        <f ca="1">IF(G45="","",VLOOKUP(G45,INDIRECT($R$11),2))</f>
        <v/>
      </c>
      <c r="G45" s="22" t="str">
        <f ca="1">U45</f>
        <v/>
      </c>
      <c r="H45" s="92"/>
      <c r="I45" s="367"/>
      <c r="J45" s="289"/>
      <c r="P45" s="54"/>
      <c r="Q45" s="298">
        <f>COUNTA('POULE 2'!C3:C10)</f>
        <v>6</v>
      </c>
      <c r="R45" s="298">
        <f>COUNTA('POULE 2'!G3:G10)</f>
        <v>6</v>
      </c>
      <c r="S45" s="319" t="str">
        <f ca="1">IF($U$1=6,"",20)</f>
        <v/>
      </c>
      <c r="T45" s="320" t="str">
        <f ca="1">IF(S45="","",VLOOKUP(S45,INDIRECT($T$2),2)&amp;$L$1)</f>
        <v/>
      </c>
      <c r="U45" s="320" t="str">
        <f ca="1">IF(S45="","",VLOOKUP(S45,INDIRECT($T$2),3)&amp;$L$1)</f>
        <v/>
      </c>
      <c r="V45" s="317"/>
    </row>
    <row r="46" spans="1:22" ht="3" customHeight="1" x14ac:dyDescent="0.3">
      <c r="A46" s="393"/>
      <c r="B46" s="121"/>
      <c r="C46" s="186"/>
      <c r="D46" s="143"/>
      <c r="E46" s="82"/>
      <c r="F46" s="121"/>
      <c r="G46" s="186"/>
      <c r="H46" s="92"/>
      <c r="I46" s="367"/>
      <c r="P46" s="54"/>
      <c r="Q46" s="297"/>
      <c r="R46" s="297"/>
      <c r="S46" s="319"/>
      <c r="T46" s="317"/>
      <c r="U46" s="317"/>
      <c r="V46" s="317"/>
    </row>
    <row r="47" spans="1:22" ht="26.25" thickBot="1" x14ac:dyDescent="0.25">
      <c r="A47" s="394"/>
      <c r="B47" s="301">
        <v>21</v>
      </c>
      <c r="C47" s="22" t="str">
        <f ca="1">T47</f>
        <v/>
      </c>
      <c r="D47" s="52" t="str">
        <f ca="1">IF(C47="","",VLOOKUP(C47,INDIRECT($R$11),2))</f>
        <v/>
      </c>
      <c r="E47" s="300" t="s">
        <v>9</v>
      </c>
      <c r="F47" s="52" t="str">
        <f ca="1">IF(G47="","",VLOOKUP(G47,INDIRECT($R$11),2))</f>
        <v/>
      </c>
      <c r="G47" s="22" t="str">
        <f ca="1">U47</f>
        <v/>
      </c>
      <c r="H47" s="92"/>
      <c r="I47" s="370"/>
      <c r="J47" s="289"/>
      <c r="P47" s="54"/>
      <c r="Q47" s="297">
        <f>COUNTA('POULE 3'!C3:C10)</f>
        <v>6</v>
      </c>
      <c r="R47" s="297">
        <f>COUNTA('POULE 3'!G3:G10)</f>
        <v>6</v>
      </c>
      <c r="S47" s="319" t="str">
        <f ca="1">IF($U$1=6,"",21)</f>
        <v/>
      </c>
      <c r="T47" s="320" t="str">
        <f ca="1">IF(S47="","",VLOOKUP(S47,INDIRECT($T$2),2)&amp;$L$1)</f>
        <v/>
      </c>
      <c r="U47" s="320" t="str">
        <f ca="1">IF(S47="","",VLOOKUP(S47,INDIRECT($T$2),3)&amp;$L$1)</f>
        <v/>
      </c>
      <c r="V47" s="317"/>
    </row>
    <row r="48" spans="1:22" ht="18.75" thickBot="1" x14ac:dyDescent="0.3">
      <c r="O48" s="315" t="s">
        <v>194</v>
      </c>
      <c r="P48" s="56"/>
      <c r="Q48" s="56"/>
      <c r="R48" s="56"/>
    </row>
    <row r="49" spans="2:18" ht="18.75" thickBot="1" x14ac:dyDescent="0.3">
      <c r="B49" s="121" t="s">
        <v>78</v>
      </c>
      <c r="C49"/>
      <c r="O49" s="56"/>
      <c r="P49" s="365">
        <f>IF(Q2=1,SUM(Q2+L1),SUM(Q2+L1)+3)</f>
        <v>3</v>
      </c>
      <c r="Q49" s="56"/>
      <c r="R49" s="56"/>
    </row>
  </sheetData>
  <sheetProtection sheet="1" objects="1" scenarios="1"/>
  <mergeCells count="6">
    <mergeCell ref="A37:A41"/>
    <mergeCell ref="A43:A47"/>
    <mergeCell ref="C1:I1"/>
    <mergeCell ref="C2:I2"/>
    <mergeCell ref="C3:I3"/>
    <mergeCell ref="H6:I6"/>
  </mergeCells>
  <printOptions horizontalCentered="1" verticalCentered="1"/>
  <pageMargins left="0" right="0" top="0" bottom="0" header="0.31496062992125984" footer="0.31496062992125984"/>
  <pageSetup paperSize="9" scale="95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6" r:id="rId4" name="Drop Down 4">
              <controlPr defaultSize="0" print="0" autoLine="0" autoPict="0">
                <anchor moveWithCells="1">
                  <from>
                    <xdr:col>2</xdr:col>
                    <xdr:colOff>190500</xdr:colOff>
                    <xdr:row>0</xdr:row>
                    <xdr:rowOff>257175</xdr:rowOff>
                  </from>
                  <to>
                    <xdr:col>4</xdr:col>
                    <xdr:colOff>57150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5" name="Drop Down 5">
              <controlPr defaultSize="0" print="0" autoLine="0" autoPict="0">
                <anchor moveWithCells="1">
                  <from>
                    <xdr:col>2</xdr:col>
                    <xdr:colOff>190500</xdr:colOff>
                    <xdr:row>2</xdr:row>
                    <xdr:rowOff>85725</xdr:rowOff>
                  </from>
                  <to>
                    <xdr:col>4</xdr:col>
                    <xdr:colOff>47625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0"/>
  <dimension ref="A1:AB57"/>
  <sheetViews>
    <sheetView showGridLines="0" zoomScale="90" zoomScaleNormal="90" workbookViewId="0">
      <selection activeCell="AF10" sqref="AF10"/>
    </sheetView>
  </sheetViews>
  <sheetFormatPr baseColWidth="10" defaultRowHeight="18" x14ac:dyDescent="0.25"/>
  <cols>
    <col min="1" max="1" width="5.28515625" style="143" customWidth="1"/>
    <col min="2" max="2" width="3" style="80" bestFit="1" customWidth="1"/>
    <col min="3" max="3" width="3.7109375" style="121" customWidth="1"/>
    <col min="4" max="4" width="16.7109375" customWidth="1"/>
    <col min="5" max="5" width="2.7109375" style="123" customWidth="1"/>
    <col min="6" max="6" width="16.7109375" customWidth="1"/>
    <col min="7" max="7" width="3.7109375" style="121" customWidth="1"/>
    <col min="8" max="8" width="1" customWidth="1"/>
    <col min="9" max="9" width="6" style="127" customWidth="1"/>
    <col min="10" max="10" width="19.7109375" customWidth="1"/>
    <col min="11" max="11" width="1.7109375" customWidth="1"/>
    <col min="12" max="12" width="19.7109375" customWidth="1"/>
    <col min="13" max="13" width="3.140625" style="121" customWidth="1"/>
    <col min="14" max="14" width="4.5703125" customWidth="1"/>
    <col min="15" max="15" width="3.42578125" customWidth="1"/>
    <col min="16" max="16" width="5.7109375" customWidth="1"/>
    <col min="17" max="17" width="3" style="1" hidden="1" customWidth="1"/>
    <col min="18" max="18" width="11.42578125" hidden="1" customWidth="1"/>
    <col min="19" max="19" width="8.5703125" hidden="1" customWidth="1"/>
    <col min="20" max="20" width="3.7109375" hidden="1" customWidth="1"/>
    <col min="21" max="22" width="4.85546875" hidden="1" customWidth="1"/>
    <col min="23" max="23" width="8.5703125" hidden="1" customWidth="1"/>
    <col min="24" max="25" width="4.85546875" hidden="1" customWidth="1"/>
    <col min="26" max="26" width="3.7109375" hidden="1" customWidth="1"/>
    <col min="27" max="28" width="3.85546875" hidden="1" customWidth="1"/>
    <col min="29" max="29" width="7.140625" customWidth="1"/>
    <col min="30" max="30" width="3.5703125" customWidth="1"/>
  </cols>
  <sheetData>
    <row r="1" spans="1:28" ht="21.95" customHeight="1" x14ac:dyDescent="0.35">
      <c r="A1" s="143" t="s">
        <v>95</v>
      </c>
      <c r="B1" s="142"/>
      <c r="C1" s="395" t="s">
        <v>21</v>
      </c>
      <c r="D1" s="395"/>
      <c r="E1" s="395"/>
      <c r="F1" s="395"/>
      <c r="G1" s="395"/>
      <c r="H1" s="395"/>
      <c r="I1" s="395"/>
      <c r="J1" s="395"/>
      <c r="K1" s="395"/>
      <c r="L1" s="395"/>
      <c r="M1" s="395"/>
      <c r="N1" s="51"/>
    </row>
    <row r="2" spans="1:28" ht="21.95" customHeight="1" x14ac:dyDescent="0.35">
      <c r="A2" s="28">
        <v>5</v>
      </c>
      <c r="C2" s="395" t="s">
        <v>76</v>
      </c>
      <c r="D2" s="395"/>
      <c r="E2" s="395"/>
      <c r="F2" s="395"/>
      <c r="G2" s="395"/>
      <c r="H2" s="395"/>
      <c r="I2" s="395"/>
      <c r="J2" s="395"/>
      <c r="K2" s="395"/>
      <c r="L2" s="395"/>
      <c r="M2" s="395"/>
      <c r="N2" s="51"/>
      <c r="Q2" s="117">
        <v>1</v>
      </c>
      <c r="R2" s="103" t="s">
        <v>60</v>
      </c>
      <c r="V2" s="1"/>
      <c r="W2" s="1"/>
      <c r="X2" s="1"/>
      <c r="Y2" s="1"/>
    </row>
    <row r="3" spans="1:28" ht="21.95" customHeight="1" x14ac:dyDescent="0.35">
      <c r="C3" s="395" t="str">
        <f>"GYMNASE" &amp;" "&amp;R19</f>
        <v>GYMNASE Lycée</v>
      </c>
      <c r="D3" s="395"/>
      <c r="E3" s="395"/>
      <c r="F3" s="395"/>
      <c r="G3" s="395"/>
      <c r="H3" s="395"/>
      <c r="I3" s="395"/>
      <c r="J3" s="395"/>
      <c r="K3" s="395"/>
      <c r="L3" s="395"/>
      <c r="M3" s="395"/>
      <c r="N3" s="51"/>
      <c r="Q3" s="117"/>
      <c r="R3" s="103" t="s">
        <v>61</v>
      </c>
      <c r="V3" s="1"/>
      <c r="W3" s="1"/>
      <c r="X3" s="1"/>
      <c r="Y3" s="1"/>
    </row>
    <row r="4" spans="1:28" ht="4.5" customHeight="1" x14ac:dyDescent="0.35">
      <c r="C4" s="120"/>
      <c r="D4" s="51"/>
      <c r="E4" s="122"/>
      <c r="F4" s="51"/>
      <c r="G4" s="120"/>
      <c r="H4" s="51"/>
      <c r="I4" s="126"/>
      <c r="J4" s="51"/>
      <c r="K4" s="51"/>
      <c r="L4" s="51"/>
      <c r="M4" s="120"/>
      <c r="N4" s="51"/>
      <c r="Q4" s="117"/>
      <c r="R4" s="102"/>
    </row>
    <row r="5" spans="1:28" ht="19.5" customHeight="1" x14ac:dyDescent="0.35">
      <c r="C5" s="124"/>
      <c r="E5" s="65"/>
      <c r="F5" s="137"/>
      <c r="G5" s="120"/>
      <c r="H5" s="51"/>
      <c r="I5" s="409" t="s">
        <v>30</v>
      </c>
      <c r="J5" s="409"/>
      <c r="K5" s="409"/>
      <c r="L5" s="409"/>
      <c r="M5" s="409"/>
      <c r="N5" s="51"/>
      <c r="Q5" s="117"/>
      <c r="R5" s="102"/>
    </row>
    <row r="6" spans="1:28" ht="18.75" customHeight="1" x14ac:dyDescent="0.35">
      <c r="C6" s="90"/>
      <c r="D6" s="140" t="str">
        <f>"Matches Terrain N° " &amp; Q6</f>
        <v>Matches Terrain N° 2</v>
      </c>
      <c r="E6" s="82"/>
      <c r="F6" s="82"/>
      <c r="J6" s="95" t="s">
        <v>59</v>
      </c>
      <c r="K6" s="87"/>
      <c r="L6" s="95" t="s">
        <v>29</v>
      </c>
      <c r="N6" s="78"/>
      <c r="Q6" s="117">
        <v>2</v>
      </c>
      <c r="R6" s="103" t="s">
        <v>36</v>
      </c>
    </row>
    <row r="7" spans="1:28" s="6" customFormat="1" ht="33" customHeight="1" x14ac:dyDescent="0.2">
      <c r="A7" s="399" t="s">
        <v>79</v>
      </c>
      <c r="B7" s="400">
        <v>1</v>
      </c>
      <c r="C7" s="401" t="str">
        <f>IF($A$2=6,U7,X7)</f>
        <v>A2</v>
      </c>
      <c r="D7" s="403" t="str">
        <f ca="1">VLOOKUP(C7,INDIRECT($R$16),2)</f>
        <v>TG3</v>
      </c>
      <c r="E7" s="405" t="s">
        <v>9</v>
      </c>
      <c r="F7" s="403" t="str">
        <f ca="1">VLOOKUP(G7,INDIRECT($R$16),2)</f>
        <v>2n10</v>
      </c>
      <c r="G7" s="401" t="str">
        <f>IF($A$2=6,V7,Y7)</f>
        <v>B2</v>
      </c>
      <c r="H7" s="92"/>
      <c r="I7" s="406" t="str">
        <f>IF(A2=6,IF($Q$6=1,"C"&amp;$Q$6+2,IF($Q$6=2,"C"&amp;$Q$6-1,"C"&amp;$Q$6-1)),AA7)</f>
        <v>C1</v>
      </c>
      <c r="J7" s="135" t="str">
        <f ca="1">IF($Q$6=1,VLOOKUP(I7,INDIRECT($S$31),3),IF($Q$6=2,VLOOKUP(I7,INDIRECT($S$25),3),VLOOKUP(I7,INDIRECT($S$28),3)))</f>
        <v>LANGONNET Jules</v>
      </c>
      <c r="K7" s="408" t="s">
        <v>56</v>
      </c>
      <c r="L7" s="136" t="str">
        <f ca="1">IF($Q$6=1,VLOOKUP(M7,INDIRECT($S$31),3),IF($Q$6=2,VLOOKUP(M7,INDIRECT($S$25),3),VLOOKUP(M7,INDIRECT($S$28),3)))</f>
        <v>BUET-PES Joée</v>
      </c>
      <c r="M7" s="397" t="str">
        <f>IF(A2=6,IF($Q$6=1,"D"&amp;$Q$6+2,IF($Q$6=2,"D"&amp;$Q$6-1,"D"&amp;$Q$6-1)),AB7)</f>
        <v>D1</v>
      </c>
      <c r="N7" s="79"/>
      <c r="Q7" s="104"/>
      <c r="R7" s="103" t="s">
        <v>62</v>
      </c>
      <c r="U7" s="107" t="str">
        <f>"A"&amp;$Q$6</f>
        <v>A2</v>
      </c>
      <c r="V7" s="107" t="str">
        <f>"F"&amp;$Q$6</f>
        <v>F2</v>
      </c>
      <c r="X7" s="144" t="str">
        <f>"A"&amp;$Q$6</f>
        <v>A2</v>
      </c>
      <c r="Y7" s="145" t="str">
        <f>"B"&amp;$Q$6</f>
        <v>B2</v>
      </c>
      <c r="AA7" s="406" t="str">
        <f>IF($Q$6=1,"C"&amp;$Q$6+2,IF($Q$6=2,"C"&amp;$Q$6-1,"C"&amp;$Q$6-1))</f>
        <v>C1</v>
      </c>
      <c r="AB7" s="397" t="str">
        <f>IF($Q$6=1,"D"&amp;$Q$6+2,IF($Q$6=2,"D"&amp;$Q$6-1,"D"&amp;$Q$6-1))</f>
        <v>D1</v>
      </c>
    </row>
    <row r="8" spans="1:28" s="6" customFormat="1" ht="12" customHeight="1" x14ac:dyDescent="0.2">
      <c r="A8" s="394"/>
      <c r="B8" s="400"/>
      <c r="C8" s="402"/>
      <c r="D8" s="404"/>
      <c r="E8" s="405"/>
      <c r="F8" s="404"/>
      <c r="G8" s="402"/>
      <c r="H8" s="92"/>
      <c r="I8" s="407"/>
      <c r="J8" s="129" t="str">
        <f ca="1">IF($Q$6=1,VLOOKUP(I7,INDIRECT($R$31),2),IF($Q$6=2,VLOOKUP(I7,INDIRECT($R$25),2),VLOOKUP(I7,INDIRECT($R$28),2)))</f>
        <v>1G1</v>
      </c>
      <c r="K8" s="408"/>
      <c r="L8" s="130" t="str">
        <f ca="1">IF($Q$6=1,VLOOKUP(M7,INDIRECT($R$31),2),IF($Q$6=2,VLOOKUP(M7,INDIRECT($R$25),2),VLOOKUP(M7,INDIRECT($R$28),2)))</f>
        <v>2n1</v>
      </c>
      <c r="M8" s="398"/>
      <c r="N8" s="79"/>
      <c r="Q8" s="104"/>
      <c r="R8" s="103" t="s">
        <v>63</v>
      </c>
      <c r="U8" s="107"/>
      <c r="V8" s="107"/>
      <c r="AA8" s="407"/>
      <c r="AB8" s="398"/>
    </row>
    <row r="9" spans="1:28" s="6" customFormat="1" ht="3" customHeight="1" x14ac:dyDescent="0.2">
      <c r="A9" s="133"/>
      <c r="B9" s="125"/>
      <c r="C9" s="119"/>
      <c r="D9" s="85"/>
      <c r="E9" s="90"/>
      <c r="F9" s="85"/>
      <c r="G9" s="119"/>
      <c r="H9" s="92"/>
      <c r="I9" s="128"/>
      <c r="J9" s="112"/>
      <c r="K9" s="84"/>
      <c r="L9" s="111"/>
      <c r="M9" s="128"/>
      <c r="N9" s="79"/>
      <c r="Q9" s="104"/>
      <c r="R9" s="103"/>
      <c r="AA9" s="128"/>
      <c r="AB9" s="128"/>
    </row>
    <row r="10" spans="1:28" s="6" customFormat="1" ht="33" customHeight="1" x14ac:dyDescent="0.2">
      <c r="A10" s="399" t="s">
        <v>80</v>
      </c>
      <c r="B10" s="400">
        <v>2</v>
      </c>
      <c r="C10" s="401" t="str">
        <f>IF($A$2=6,U10,X10)</f>
        <v>C2</v>
      </c>
      <c r="D10" s="403" t="str">
        <f ca="1">VLOOKUP(C10,INDIRECT($R$16),2)</f>
        <v>1G2</v>
      </c>
      <c r="E10" s="405" t="s">
        <v>9</v>
      </c>
      <c r="F10" s="403" t="str">
        <f ca="1">VLOOKUP(G10,INDIRECT($R$16),2)</f>
        <v>2n6</v>
      </c>
      <c r="G10" s="401" t="str">
        <f>IF($A$2=6,V10,Y10)</f>
        <v>D2</v>
      </c>
      <c r="H10" s="92"/>
      <c r="I10" s="406" t="str">
        <f>IF(A2=6,IF($Q$6=1,"A"&amp;$Q$6+2,IF($Q$6=2,"A"&amp;$Q$6-1,"A"&amp;$Q$6-1)),AA10)</f>
        <v>A1</v>
      </c>
      <c r="J10" s="135" t="str">
        <f ca="1">IF($Q$6=1,VLOOKUP(I10,INDIRECT($S$31),3),IF($Q$6=2,VLOOKUP(I10,INDIRECT($S$25),3),VLOOKUP(I10,INDIRECT($S$28),3)))</f>
        <v>MIR Lucie</v>
      </c>
      <c r="K10" s="408" t="s">
        <v>56</v>
      </c>
      <c r="L10" s="136" t="str">
        <f ca="1">IF($Q$6=1,VLOOKUP(M10,INDIRECT($S$31),3),IF($Q$6=2,VLOOKUP(M10,INDIRECT($S$25),3),VLOOKUP(M10,INDIRECT($S$28),3)))</f>
        <v>PREVOTEAU Lucie</v>
      </c>
      <c r="M10" s="397" t="str">
        <f>IF(A2=6,IF($Q$6=1,"F"&amp;$Q$6+2,IF($Q$6=2,"F"&amp;$Q$6-1,"F"&amp;$Q$6-1)),AB10)</f>
        <v>B1</v>
      </c>
      <c r="N10" s="79"/>
      <c r="Q10" s="104"/>
      <c r="R10" s="103"/>
      <c r="U10" s="107" t="str">
        <f>"B"&amp;$Q$6</f>
        <v>B2</v>
      </c>
      <c r="V10" s="107" t="str">
        <f>"E"&amp;$Q$6</f>
        <v>E2</v>
      </c>
      <c r="X10" s="146" t="str">
        <f>"C"&amp;$Q$6</f>
        <v>C2</v>
      </c>
      <c r="Y10" s="147" t="str">
        <f>"D"&amp;$Q$6</f>
        <v>D2</v>
      </c>
      <c r="AA10" s="406" t="str">
        <f>IF($Q$6=1,"A"&amp;$Q$6+2,IF($Q$6=2,"A"&amp;$Q$6-1,"A"&amp;$Q$6-1))</f>
        <v>A1</v>
      </c>
      <c r="AB10" s="397" t="str">
        <f>IF($Q$6=1,"B"&amp;$Q$6+2,IF($Q$6=2,"B"&amp;$Q$6-1,"B"&amp;$Q$6-1))</f>
        <v>B1</v>
      </c>
    </row>
    <row r="11" spans="1:28" s="53" customFormat="1" ht="12" customHeight="1" x14ac:dyDescent="0.2">
      <c r="A11" s="394"/>
      <c r="B11" s="400"/>
      <c r="C11" s="402"/>
      <c r="D11" s="404"/>
      <c r="E11" s="405"/>
      <c r="F11" s="404"/>
      <c r="G11" s="402"/>
      <c r="H11" s="131"/>
      <c r="I11" s="407"/>
      <c r="J11" s="132" t="str">
        <f ca="1">IF($Q$6=1,VLOOKUP(I10,INDIRECT($R$31),2),IF($Q$6=2,VLOOKUP(I10,INDIRECT($R$25),2),VLOOKUP(I10,INDIRECT($R$28),2)))</f>
        <v>TG1</v>
      </c>
      <c r="K11" s="408"/>
      <c r="L11" s="130" t="str">
        <f ca="1">IF($Q$6=1,VLOOKUP(M10,INDIRECT($R$31),2),IF($Q$6=2,VLOOKUP(M10,INDIRECT($R$25),2),VLOOKUP(M10,INDIRECT($R$28),2)))</f>
        <v>2n11</v>
      </c>
      <c r="M11" s="398"/>
      <c r="Q11" s="118"/>
      <c r="R11" s="103"/>
      <c r="AA11" s="407"/>
      <c r="AB11" s="398"/>
    </row>
    <row r="12" spans="1:28" s="6" customFormat="1" ht="3" customHeight="1" x14ac:dyDescent="0.2">
      <c r="A12" s="133"/>
      <c r="B12" s="125"/>
      <c r="C12" s="119"/>
      <c r="D12" s="85"/>
      <c r="E12" s="90"/>
      <c r="F12" s="85"/>
      <c r="G12" s="119"/>
      <c r="H12" s="92"/>
      <c r="I12" s="128"/>
      <c r="J12" s="111"/>
      <c r="K12" s="84"/>
      <c r="L12" s="111"/>
      <c r="M12" s="128"/>
      <c r="N12" s="79"/>
      <c r="Q12" s="104"/>
      <c r="R12" s="104"/>
      <c r="U12" s="108"/>
      <c r="V12" s="108"/>
      <c r="AA12" s="128"/>
      <c r="AB12" s="128"/>
    </row>
    <row r="13" spans="1:28" s="6" customFormat="1" ht="33" customHeight="1" x14ac:dyDescent="0.2">
      <c r="A13" s="399" t="s">
        <v>81</v>
      </c>
      <c r="B13" s="400">
        <v>3</v>
      </c>
      <c r="C13" s="401" t="str">
        <f>IF($A$2=6,U13,X13)</f>
        <v>A2</v>
      </c>
      <c r="D13" s="403" t="str">
        <f ca="1">VLOOKUP(C13,INDIRECT($R$16),2)</f>
        <v>TG3</v>
      </c>
      <c r="E13" s="405" t="s">
        <v>9</v>
      </c>
      <c r="F13" s="403" t="str">
        <f ca="1">VLOOKUP(G13,INDIRECT($R$16),2)</f>
        <v>TSTMG1</v>
      </c>
      <c r="G13" s="401" t="str">
        <f>IF($A$2=6,V13,Y13)</f>
        <v>E2</v>
      </c>
      <c r="H13" s="92"/>
      <c r="I13" s="406" t="str">
        <f>IF(A2=6,IF($Q$6=1,"B"&amp;$Q$6+2,IF($Q$6=2,"B"&amp;$Q$6-1,"B"&amp;$Q$6-1)),AA13)</f>
        <v>E1</v>
      </c>
      <c r="J13" s="135" t="str">
        <f ca="1">IF($Q$6=1,VLOOKUP(I13,INDIRECT($S$31),3),IF($Q$6=2,VLOOKUP(I13,INDIRECT($S$25),3),VLOOKUP(I13,INDIRECT($S$28),3)))</f>
        <v>RAYMOND Lilou</v>
      </c>
      <c r="K13" s="408" t="s">
        <v>56</v>
      </c>
      <c r="L13" s="136" t="str">
        <f ca="1">IF($Q$6=1,VLOOKUP(M13,INDIRECT($S$31),3),IF($Q$6=2,VLOOKUP(M13,INDIRECT($S$25),3),VLOOKUP(M13,INDIRECT($S$28),3)))</f>
        <v>LANGONNET Jules</v>
      </c>
      <c r="M13" s="397" t="str">
        <f>IF(A2=6,IF($Q$6=1,"E"&amp;$Q$6+2,IF($Q$6=2,"E"&amp;$Q$6-1,"E"&amp;$Q$6-1)),AB13)</f>
        <v>C1</v>
      </c>
      <c r="N13" s="79"/>
      <c r="Q13" s="104"/>
      <c r="R13" s="104" t="str">
        <f>IF(Q2=1,"Lyc","Tou")</f>
        <v>Lyc</v>
      </c>
      <c r="S13" s="6" t="s">
        <v>77</v>
      </c>
      <c r="U13" s="107" t="str">
        <f>"C"&amp;$Q$6</f>
        <v>C2</v>
      </c>
      <c r="V13" s="107" t="str">
        <f>"D"&amp;$Q$6</f>
        <v>D2</v>
      </c>
      <c r="X13" s="144" t="str">
        <f>"A"&amp;$Q$6</f>
        <v>A2</v>
      </c>
      <c r="Y13" s="148" t="str">
        <f>"E"&amp;$Q$6</f>
        <v>E2</v>
      </c>
      <c r="AA13" s="406" t="str">
        <f>IF($Q$6=1,"E"&amp;$Q$6+2,IF($Q$6=2,"E"&amp;$Q$6-1,"E"&amp;$Q$6-1))</f>
        <v>E1</v>
      </c>
      <c r="AB13" s="397" t="str">
        <f>IF($Q$6=1,"C"&amp;$Q$6+2,IF($Q$6=2,"C"&amp;$Q$6-1,"C"&amp;$Q$6-1))</f>
        <v>C1</v>
      </c>
    </row>
    <row r="14" spans="1:28" s="53" customFormat="1" ht="12" customHeight="1" x14ac:dyDescent="0.2">
      <c r="A14" s="394"/>
      <c r="B14" s="400"/>
      <c r="C14" s="402"/>
      <c r="D14" s="404"/>
      <c r="E14" s="405"/>
      <c r="F14" s="404"/>
      <c r="G14" s="402"/>
      <c r="H14" s="131"/>
      <c r="I14" s="407"/>
      <c r="J14" s="132" t="str">
        <f ca="1">IF($Q$6=1,VLOOKUP(I13,INDIRECT($R$31),2),IF($Q$6=2,VLOOKUP(I13,INDIRECT($R$25),2),VLOOKUP(I13,INDIRECT($R$28),2)))</f>
        <v>TAGORA</v>
      </c>
      <c r="K14" s="408"/>
      <c r="L14" s="130" t="str">
        <f ca="1">IF($Q$6=1,VLOOKUP(M13,INDIRECT($R$31),2),IF($Q$6=2,VLOOKUP(M13,INDIRECT($R$25),2),VLOOKUP(M13,INDIRECT($R$28),2)))</f>
        <v>1G1</v>
      </c>
      <c r="M14" s="398"/>
      <c r="Q14" s="118"/>
      <c r="R14" s="118"/>
      <c r="U14" s="108"/>
      <c r="V14" s="108"/>
      <c r="X14" s="6"/>
      <c r="Y14" s="6"/>
      <c r="AA14" s="407"/>
      <c r="AB14" s="398"/>
    </row>
    <row r="15" spans="1:28" s="6" customFormat="1" ht="3" customHeight="1" x14ac:dyDescent="0.2">
      <c r="A15" s="133"/>
      <c r="B15" s="125"/>
      <c r="C15" s="119"/>
      <c r="D15" s="85"/>
      <c r="E15" s="90"/>
      <c r="F15" s="85"/>
      <c r="G15" s="119"/>
      <c r="H15" s="92"/>
      <c r="I15" s="128"/>
      <c r="J15" s="111"/>
      <c r="K15" s="84"/>
      <c r="L15" s="111"/>
      <c r="M15" s="128"/>
      <c r="N15" s="79"/>
      <c r="Q15" s="104"/>
      <c r="R15" s="104"/>
      <c r="AA15" s="128"/>
      <c r="AB15" s="128"/>
    </row>
    <row r="16" spans="1:28" s="6" customFormat="1" ht="33" customHeight="1" x14ac:dyDescent="0.2">
      <c r="A16" s="399" t="s">
        <v>82</v>
      </c>
      <c r="B16" s="400">
        <v>4</v>
      </c>
      <c r="C16" s="401" t="str">
        <f>IF($A$2=6,U16,X16)</f>
        <v>B2</v>
      </c>
      <c r="D16" s="403" t="str">
        <f ca="1">VLOOKUP(C16,INDIRECT($R$16),2)</f>
        <v>2n10</v>
      </c>
      <c r="E16" s="405" t="s">
        <v>9</v>
      </c>
      <c r="F16" s="403" t="str">
        <f ca="1">VLOOKUP(G16,INDIRECT($R$16),2)</f>
        <v>1G2</v>
      </c>
      <c r="G16" s="401" t="str">
        <f>IF($A$2=6,V16,Y16)</f>
        <v>C2</v>
      </c>
      <c r="H16" s="92"/>
      <c r="I16" s="406" t="str">
        <f>IF(A2=6,IF($Q$6=1,"D"&amp;$Q$6+2,IF($Q$6=2,"D"&amp;$Q$6-1,"D"&amp;$Q$6-1)),AA16)</f>
        <v>D1</v>
      </c>
      <c r="J16" s="135" t="str">
        <f ca="1">IF($Q$6=1,VLOOKUP(I16,INDIRECT($S$31),3),IF($Q$6=2,VLOOKUP(I16,INDIRECT($S$25),3),VLOOKUP(I16,INDIRECT($S$28),3)))</f>
        <v>BUET-PES Joée</v>
      </c>
      <c r="K16" s="408" t="s">
        <v>56</v>
      </c>
      <c r="L16" s="136" t="str">
        <f ca="1">IF($Q$6=1,VLOOKUP(M16,INDIRECT($S$31),3),IF($Q$6=2,VLOOKUP(M16,INDIRECT($S$25),3),VLOOKUP(M16,INDIRECT($S$28),3)))</f>
        <v>MIR Lucie</v>
      </c>
      <c r="M16" s="397" t="str">
        <f>IF(A2=6,IF($Q$6=1,"E"&amp;$Q$6+2,IF($Q$6=2,"E"&amp;$Q$6-1,"E"&amp;$Q$6-1)),AB16)</f>
        <v>A1</v>
      </c>
      <c r="N16" s="79"/>
      <c r="Q16" s="104"/>
      <c r="R16" s="104" t="str">
        <f>R13&amp;"T"&amp;Q6</f>
        <v>LycT2</v>
      </c>
      <c r="U16" s="107" t="str">
        <f>"B"&amp;$Q$6</f>
        <v>B2</v>
      </c>
      <c r="V16" s="107" t="str">
        <f>"F"&amp;$Q$6</f>
        <v>F2</v>
      </c>
      <c r="X16" s="145" t="str">
        <f>"B"&amp;$Q$6</f>
        <v>B2</v>
      </c>
      <c r="Y16" s="146" t="str">
        <f>"C"&amp;$Q$6</f>
        <v>C2</v>
      </c>
      <c r="AA16" s="406" t="str">
        <f>IF($Q$6=1,"D"&amp;$Q$6+2,IF($Q$6=2,"D"&amp;$Q$6-1,"D"&amp;$Q$6-1))</f>
        <v>D1</v>
      </c>
      <c r="AB16" s="397" t="str">
        <f>IF($Q$6=1,"A"&amp;$Q$6+2,IF($Q$6=2,"A"&amp;$Q$6-1,"A"&amp;$Q$6-1))</f>
        <v>A1</v>
      </c>
    </row>
    <row r="17" spans="1:28" s="53" customFormat="1" ht="12" customHeight="1" x14ac:dyDescent="0.2">
      <c r="A17" s="394"/>
      <c r="B17" s="400"/>
      <c r="C17" s="402"/>
      <c r="D17" s="404"/>
      <c r="E17" s="405"/>
      <c r="F17" s="404"/>
      <c r="G17" s="402"/>
      <c r="H17" s="131"/>
      <c r="I17" s="407"/>
      <c r="J17" s="132" t="str">
        <f ca="1">IF($Q$6=1,VLOOKUP(I16,INDIRECT($R$31),2),IF($Q$6=2,VLOOKUP(I16,INDIRECT($R$25),2),VLOOKUP(I16,INDIRECT($R$28),2)))</f>
        <v>2n1</v>
      </c>
      <c r="K17" s="408"/>
      <c r="L17" s="130" t="str">
        <f ca="1">IF($Q$6=1,VLOOKUP(M16,INDIRECT($R$31),2),IF($Q$6=2,VLOOKUP(M16,INDIRECT($R$25),2),VLOOKUP(M16,INDIRECT($R$28),2)))</f>
        <v>TG1</v>
      </c>
      <c r="M17" s="398"/>
      <c r="Q17" s="118"/>
      <c r="R17" s="118"/>
      <c r="AA17" s="407"/>
      <c r="AB17" s="398"/>
    </row>
    <row r="18" spans="1:28" s="6" customFormat="1" ht="3" customHeight="1" x14ac:dyDescent="0.2">
      <c r="A18" s="133"/>
      <c r="B18" s="125"/>
      <c r="C18" s="119"/>
      <c r="D18" s="85"/>
      <c r="E18" s="90"/>
      <c r="F18" s="85"/>
      <c r="G18" s="119"/>
      <c r="H18" s="92"/>
      <c r="I18" s="128"/>
      <c r="J18" s="111"/>
      <c r="K18" s="84"/>
      <c r="L18" s="111"/>
      <c r="M18" s="128"/>
      <c r="N18" s="79"/>
      <c r="Q18" s="104"/>
      <c r="R18" s="104"/>
      <c r="U18" s="108"/>
      <c r="V18" s="108"/>
      <c r="AA18" s="128"/>
      <c r="AB18" s="128"/>
    </row>
    <row r="19" spans="1:28" s="6" customFormat="1" ht="33" customHeight="1" x14ac:dyDescent="0.2">
      <c r="A19" s="399" t="s">
        <v>83</v>
      </c>
      <c r="B19" s="400">
        <v>5</v>
      </c>
      <c r="C19" s="401" t="str">
        <f>IF($A$2=6,U19,X19)</f>
        <v>D2</v>
      </c>
      <c r="D19" s="403" t="str">
        <f ca="1">VLOOKUP(C19,INDIRECT($R$16),2)</f>
        <v>2n6</v>
      </c>
      <c r="E19" s="405" t="s">
        <v>9</v>
      </c>
      <c r="F19" s="403" t="str">
        <f ca="1">VLOOKUP(G19,INDIRECT($R$16),2)</f>
        <v>TSTMG1</v>
      </c>
      <c r="G19" s="401" t="str">
        <f>IF($A$2=6,V19,Y19)</f>
        <v>E2</v>
      </c>
      <c r="H19" s="134"/>
      <c r="I19" s="406" t="str">
        <f>IF(A2=6,IF($Q$6=1,"B"&amp;$Q$6+2,IF($Q$6=2,"B"&amp;$Q$6-1,"B"&amp;$Q$6-1)),AA19)</f>
        <v>B1</v>
      </c>
      <c r="J19" s="135" t="str">
        <f ca="1">IF($Q$6=1,VLOOKUP(I19,INDIRECT($S$31),3),IF($Q$6=2,VLOOKUP(I19,INDIRECT($S$25),3),VLOOKUP(I19,INDIRECT($S$28),3)))</f>
        <v>PREVOTEAU Lucie</v>
      </c>
      <c r="K19" s="408" t="s">
        <v>56</v>
      </c>
      <c r="L19" s="136" t="str">
        <f ca="1">IF($Q$6=1,VLOOKUP(M19,INDIRECT($S$31),3),IF($Q$6=2,VLOOKUP(M19,INDIRECT($S$25),3),VLOOKUP(M19,INDIRECT($S$28),3)))</f>
        <v>RAYMOND Lilou</v>
      </c>
      <c r="M19" s="397" t="str">
        <f>IF(A2=6,IF($Q$6=1,"F"&amp;$Q$6+2,IF($Q$6=2,"F"&amp;$Q$6-1,"F"&amp;$Q$6-1)),AB19)</f>
        <v>E1</v>
      </c>
      <c r="N19" s="79"/>
      <c r="Q19" s="104"/>
      <c r="R19" s="104" t="str">
        <f>IF(Q2=1,"Lycée","Tourrier")</f>
        <v>Lycée</v>
      </c>
      <c r="U19" s="107" t="str">
        <f>"A"&amp;$Q$6</f>
        <v>A2</v>
      </c>
      <c r="V19" s="107" t="str">
        <f>"C"&amp;$Q$6</f>
        <v>C2</v>
      </c>
      <c r="X19" s="147" t="str">
        <f>"D"&amp;$Q$6</f>
        <v>D2</v>
      </c>
      <c r="Y19" s="148" t="str">
        <f>"E"&amp;$Q$6</f>
        <v>E2</v>
      </c>
      <c r="AA19" s="406" t="str">
        <f>IF($Q$6=1,"B"&amp;$Q$6+2,IF($Q$6=2,"B"&amp;$Q$6-1,"B"&amp;$Q$6-1))</f>
        <v>B1</v>
      </c>
      <c r="AB19" s="397" t="str">
        <f>IF($Q$6=1,"E"&amp;$Q$6+2,IF($Q$6=2,"E"&amp;$Q$6-1,"E"&amp;$Q$6-1))</f>
        <v>E1</v>
      </c>
    </row>
    <row r="20" spans="1:28" s="6" customFormat="1" ht="12" customHeight="1" x14ac:dyDescent="0.2">
      <c r="A20" s="394"/>
      <c r="B20" s="400"/>
      <c r="C20" s="402"/>
      <c r="D20" s="404"/>
      <c r="E20" s="405"/>
      <c r="F20" s="404"/>
      <c r="G20" s="402"/>
      <c r="H20" s="92"/>
      <c r="I20" s="407"/>
      <c r="J20" s="132" t="str">
        <f ca="1">IF($Q$6=1,VLOOKUP(I19,INDIRECT($R$31),2),IF($Q$6=2,VLOOKUP(I19,INDIRECT($R$25),2),VLOOKUP(I19,INDIRECT($R$28),2)))</f>
        <v>2n11</v>
      </c>
      <c r="K20" s="408"/>
      <c r="L20" s="130" t="str">
        <f ca="1">IF($Q$6=1,VLOOKUP(M19,INDIRECT($R$31),2),IF($Q$6=2,VLOOKUP(M19,INDIRECT($R$25),2),VLOOKUP(M19,INDIRECT($R$28),2)))</f>
        <v>TAGORA</v>
      </c>
      <c r="M20" s="398"/>
      <c r="N20" s="79"/>
      <c r="Q20" s="104"/>
      <c r="R20" s="104"/>
      <c r="U20" s="108"/>
      <c r="V20" s="108"/>
      <c r="AA20" s="407"/>
      <c r="AB20" s="398"/>
    </row>
    <row r="21" spans="1:28" s="6" customFormat="1" ht="3" customHeight="1" x14ac:dyDescent="0.2">
      <c r="A21" s="133"/>
      <c r="B21" s="125"/>
      <c r="C21" s="119"/>
      <c r="D21" s="85"/>
      <c r="E21" s="90"/>
      <c r="F21" s="85"/>
      <c r="G21" s="119"/>
      <c r="H21" s="92"/>
      <c r="I21" s="128"/>
      <c r="J21" s="111"/>
      <c r="K21" s="84"/>
      <c r="L21" s="111"/>
      <c r="M21" s="128"/>
      <c r="N21" s="79"/>
      <c r="Q21" s="104"/>
      <c r="R21" s="104"/>
      <c r="AA21" s="128"/>
      <c r="AB21" s="128"/>
    </row>
    <row r="22" spans="1:28" s="6" customFormat="1" ht="33" customHeight="1" x14ac:dyDescent="0.2">
      <c r="A22" s="399" t="s">
        <v>84</v>
      </c>
      <c r="B22" s="400">
        <v>6</v>
      </c>
      <c r="C22" s="401" t="str">
        <f>IF($A$2=6,U22,X22)</f>
        <v>A2</v>
      </c>
      <c r="D22" s="403" t="str">
        <f ca="1">VLOOKUP(C22,INDIRECT($R$16),2)</f>
        <v>TG3</v>
      </c>
      <c r="E22" s="405" t="s">
        <v>9</v>
      </c>
      <c r="F22" s="403" t="str">
        <f ca="1">VLOOKUP(G22,INDIRECT($R$16),2)</f>
        <v>1G2</v>
      </c>
      <c r="G22" s="401" t="str">
        <f>IF($A$2=6,V22,Y22)</f>
        <v>C2</v>
      </c>
      <c r="H22" s="134"/>
      <c r="I22" s="406" t="str">
        <f>IF(A2=6,IF($Q$6=1,"A"&amp;$Q$6+2,IF($Q$6=2,"A"&amp;$Q$6-1,"A"&amp;$Q$6-1)),AA22)</f>
        <v>A1</v>
      </c>
      <c r="J22" s="135" t="str">
        <f ca="1">IF($Q$6=1,VLOOKUP(I22,INDIRECT($S$31),3),IF($Q$6=2,VLOOKUP(I22,INDIRECT($S$25),3),VLOOKUP(I22,INDIRECT($S$28),3)))</f>
        <v>MIR Lucie</v>
      </c>
      <c r="K22" s="408" t="s">
        <v>56</v>
      </c>
      <c r="L22" s="136" t="str">
        <f ca="1">IF($Q$6=1,VLOOKUP(M22,INDIRECT($S$31),3),IF($Q$6=2,VLOOKUP(M22,INDIRECT($S$25),3),VLOOKUP(M22,INDIRECT($S$28),3)))</f>
        <v>LANGONNET Jules</v>
      </c>
      <c r="M22" s="397" t="str">
        <f>IF(A2=6,IF($Q$6=1,"C"&amp;$Q$6+2,IF($Q$6=2,"C"&amp;$Q$6-1,"C"&amp;$Q$6-1)),AB22)</f>
        <v>C1</v>
      </c>
      <c r="N22" s="79"/>
      <c r="Q22" s="104"/>
      <c r="R22" s="104" t="s">
        <v>66</v>
      </c>
      <c r="U22" s="107" t="str">
        <f>"D"&amp;$Q$6</f>
        <v>D2</v>
      </c>
      <c r="V22" s="107" t="str">
        <f>"E"&amp;$Q$6</f>
        <v>E2</v>
      </c>
      <c r="X22" s="144" t="str">
        <f>"A"&amp;$Q$6</f>
        <v>A2</v>
      </c>
      <c r="Y22" s="146" t="str">
        <f>"C"&amp;$Q$6</f>
        <v>C2</v>
      </c>
      <c r="AA22" s="406" t="str">
        <f>IF($Q$6=1,"A"&amp;$Q$6+2,IF($Q$6=2,"A"&amp;$Q$6-1,"A"&amp;$Q$6-1))</f>
        <v>A1</v>
      </c>
      <c r="AB22" s="397" t="str">
        <f>IF($Q$6=1,"C"&amp;$Q$6+2,IF($Q$6=2,"C"&amp;$Q$6-1,"C"&amp;$Q$6-1))</f>
        <v>C1</v>
      </c>
    </row>
    <row r="23" spans="1:28" s="53" customFormat="1" ht="12" customHeight="1" x14ac:dyDescent="0.2">
      <c r="A23" s="394"/>
      <c r="B23" s="400"/>
      <c r="C23" s="402"/>
      <c r="D23" s="404"/>
      <c r="E23" s="405"/>
      <c r="F23" s="404"/>
      <c r="G23" s="402"/>
      <c r="H23" s="131"/>
      <c r="I23" s="407"/>
      <c r="J23" s="132" t="str">
        <f ca="1">IF($Q$6=1,VLOOKUP(I22,INDIRECT($R$31),2),IF($Q$6=2,VLOOKUP(I22,INDIRECT($R$25),2),VLOOKUP(I22,INDIRECT($R$28),2)))</f>
        <v>TG1</v>
      </c>
      <c r="K23" s="408"/>
      <c r="L23" s="130" t="str">
        <f ca="1">IF($Q$6=1,VLOOKUP(M22,INDIRECT($R$31),2),IF($Q$6=2,VLOOKUP(M22,INDIRECT($R$25),2),VLOOKUP(M22,INDIRECT($R$28),2)))</f>
        <v>1G1</v>
      </c>
      <c r="M23" s="398"/>
      <c r="Q23" s="118"/>
      <c r="R23" s="118"/>
      <c r="AA23" s="407"/>
      <c r="AB23" s="398"/>
    </row>
    <row r="24" spans="1:28" s="6" customFormat="1" ht="3" customHeight="1" x14ac:dyDescent="0.2">
      <c r="A24" s="133"/>
      <c r="B24" s="125"/>
      <c r="C24" s="119"/>
      <c r="D24" s="85"/>
      <c r="E24" s="90"/>
      <c r="F24" s="85"/>
      <c r="G24" s="119"/>
      <c r="H24" s="92"/>
      <c r="I24" s="128"/>
      <c r="J24" s="111"/>
      <c r="K24" s="84"/>
      <c r="L24" s="111"/>
      <c r="M24" s="128"/>
      <c r="N24" s="79"/>
      <c r="Q24" s="104"/>
      <c r="R24" s="104"/>
      <c r="U24" s="108"/>
      <c r="V24" s="108"/>
      <c r="AA24" s="128"/>
      <c r="AB24" s="128"/>
    </row>
    <row r="25" spans="1:28" s="6" customFormat="1" ht="33" customHeight="1" x14ac:dyDescent="0.2">
      <c r="A25" s="399" t="s">
        <v>85</v>
      </c>
      <c r="B25" s="400">
        <v>7</v>
      </c>
      <c r="C25" s="401" t="str">
        <f>IF($A$2=6,U25,X25)</f>
        <v>B2</v>
      </c>
      <c r="D25" s="403" t="str">
        <f ca="1">VLOOKUP(C25,INDIRECT($R$16),2)</f>
        <v>2n10</v>
      </c>
      <c r="E25" s="405" t="s">
        <v>9</v>
      </c>
      <c r="F25" s="403" t="str">
        <f ca="1">VLOOKUP(G25,INDIRECT($R$16),2)</f>
        <v>2n6</v>
      </c>
      <c r="G25" s="401" t="str">
        <f>IF($A$2=6,V25,Y25)</f>
        <v>D2</v>
      </c>
      <c r="H25" s="134"/>
      <c r="I25" s="406" t="str">
        <f>IF(A2=6,IF($Q$6=1,"A"&amp;$Q$6+2,IF($Q$6=2,"A"&amp;$Q$6-1,"A"&amp;$Q$6-1)),AA25)</f>
        <v>E1</v>
      </c>
      <c r="J25" s="135" t="str">
        <f ca="1">IF($Q$6=1,VLOOKUP(I25,INDIRECT($S$31),3),IF($Q$6=2,VLOOKUP(I25,INDIRECT($S$25),3),VLOOKUP(I25,INDIRECT($S$28),3)))</f>
        <v>RAYMOND Lilou</v>
      </c>
      <c r="K25" s="408" t="s">
        <v>56</v>
      </c>
      <c r="L25" s="136" t="str">
        <f ca="1">IF($Q$6=1,VLOOKUP(M25,INDIRECT($S$31),3),IF($Q$6=2,VLOOKUP(M25,INDIRECT($S$25),3),VLOOKUP(M25,INDIRECT($S$28),3)))</f>
        <v>BUET-PES Joée</v>
      </c>
      <c r="M25" s="397" t="str">
        <f>IF(A2=6,IF($Q$6=1,"E"&amp;$Q$6+2,IF($Q$6=2,"E"&amp;$Q$6-1,"E"&amp;$Q$6-1)),AB25)</f>
        <v>D1</v>
      </c>
      <c r="N25" s="79"/>
      <c r="Q25" s="118" t="s">
        <v>73</v>
      </c>
      <c r="R25" s="104" t="str">
        <f>R13&amp;"T"&amp;Q6-1</f>
        <v>LycT1</v>
      </c>
      <c r="S25" s="6" t="str">
        <f>R13&amp;S13&amp;"T"&amp;Q6-1</f>
        <v>LycarbT1</v>
      </c>
      <c r="U25" s="107" t="str">
        <f>"C"&amp;$Q$6</f>
        <v>C2</v>
      </c>
      <c r="V25" s="107" t="str">
        <f>"F"&amp;$Q$6</f>
        <v>F2</v>
      </c>
      <c r="X25" s="145" t="str">
        <f>"B"&amp;$Q$6</f>
        <v>B2</v>
      </c>
      <c r="Y25" s="147" t="str">
        <f>"D"&amp;$Q$6</f>
        <v>D2</v>
      </c>
      <c r="AA25" s="406" t="str">
        <f>IF($Q$6=1,"E"&amp;$Q$6+2,IF($Q$6=2,"E"&amp;$Q$6-1,"D"&amp;$Q$6-1))</f>
        <v>E1</v>
      </c>
      <c r="AB25" s="397" t="str">
        <f>IF($Q$6=1,"D"&amp;$Q$6+2,IF($Q$6=2,"D"&amp;$Q$6-1,"D"&amp;$Q$6-1))</f>
        <v>D1</v>
      </c>
    </row>
    <row r="26" spans="1:28" s="6" customFormat="1" ht="12" customHeight="1" x14ac:dyDescent="0.2">
      <c r="A26" s="394"/>
      <c r="B26" s="400"/>
      <c r="C26" s="402"/>
      <c r="D26" s="404"/>
      <c r="E26" s="405"/>
      <c r="F26" s="404"/>
      <c r="G26" s="402"/>
      <c r="H26" s="92"/>
      <c r="I26" s="407"/>
      <c r="J26" s="132" t="str">
        <f ca="1">IF($Q$6=1,VLOOKUP(I25,INDIRECT($R$31),2),IF($Q$6=2,VLOOKUP(I25,INDIRECT($R$25),2),VLOOKUP(I25,INDIRECT($R$28),2)))</f>
        <v>TAGORA</v>
      </c>
      <c r="K26" s="408"/>
      <c r="L26" s="130" t="str">
        <f ca="1">IF($Q$6=1,VLOOKUP(M25,INDIRECT($R$31),2),IF($Q$6=2,VLOOKUP(M25,INDIRECT($R$25),2),VLOOKUP(M25,INDIRECT($R$28),2)))</f>
        <v>2n1</v>
      </c>
      <c r="M26" s="398"/>
      <c r="N26" s="79"/>
      <c r="Q26" s="118"/>
      <c r="R26" s="104"/>
      <c r="U26" s="108"/>
      <c r="V26" s="108"/>
      <c r="AA26" s="407"/>
      <c r="AB26" s="398"/>
    </row>
    <row r="27" spans="1:28" s="6" customFormat="1" ht="3" customHeight="1" x14ac:dyDescent="0.2">
      <c r="A27" s="133"/>
      <c r="B27" s="125"/>
      <c r="C27" s="119"/>
      <c r="D27" s="85"/>
      <c r="E27" s="90"/>
      <c r="F27" s="85"/>
      <c r="G27" s="119"/>
      <c r="H27" s="92"/>
      <c r="I27" s="128"/>
      <c r="J27" s="111"/>
      <c r="K27" s="84"/>
      <c r="L27" s="111"/>
      <c r="M27" s="128"/>
      <c r="N27" s="79"/>
      <c r="Q27" s="104"/>
      <c r="R27" s="104"/>
      <c r="AA27" s="128"/>
      <c r="AB27" s="128"/>
    </row>
    <row r="28" spans="1:28" s="6" customFormat="1" ht="33" customHeight="1" x14ac:dyDescent="0.2">
      <c r="A28" s="399" t="s">
        <v>86</v>
      </c>
      <c r="B28" s="400">
        <v>8</v>
      </c>
      <c r="C28" s="401" t="str">
        <f>IF($A$2=6,U28,X28)</f>
        <v>C2</v>
      </c>
      <c r="D28" s="403" t="str">
        <f ca="1">VLOOKUP(C28,INDIRECT($R$16),2)</f>
        <v>1G2</v>
      </c>
      <c r="E28" s="405" t="s">
        <v>9</v>
      </c>
      <c r="F28" s="403" t="str">
        <f ca="1">VLOOKUP(G28,INDIRECT($R$16),2)</f>
        <v>TSTMG1</v>
      </c>
      <c r="G28" s="401" t="str">
        <f>IF($A$2=6,V28,Y28)</f>
        <v>E2</v>
      </c>
      <c r="H28" s="134"/>
      <c r="I28" s="406" t="str">
        <f>IF(A2=6,IF($Q$6=1,"C"&amp;$Q$6+2,IF($Q$6=2,"C"&amp;$Q$6-1,"C"&amp;$Q$6-1)),AA28)</f>
        <v>C1</v>
      </c>
      <c r="J28" s="135" t="str">
        <f ca="1">IF($Q$6=1,VLOOKUP(I28,INDIRECT($S$31),3),IF($Q$6=2,VLOOKUP(I28,INDIRECT($S$25),3),VLOOKUP(I28,INDIRECT($S$28),3)))</f>
        <v>LANGONNET Jules</v>
      </c>
      <c r="K28" s="408" t="s">
        <v>56</v>
      </c>
      <c r="L28" s="136" t="str">
        <f ca="1">IF($Q$6=1,VLOOKUP(M28,INDIRECT($S$31),3),IF($Q$6=2,VLOOKUP(M28,INDIRECT($S$25),3),VLOOKUP(M28,INDIRECT($S$28),3)))</f>
        <v>PREVOTEAU Lucie</v>
      </c>
      <c r="M28" s="397" t="str">
        <f>IF(A2=6,IF($Q$6=1,"F"&amp;$Q$6+2,IF($Q$6=2,"F"&amp;$Q$6-1,"F"&amp;$Q$6-1)),AB28)</f>
        <v>B1</v>
      </c>
      <c r="N28" s="79"/>
      <c r="Q28" s="118" t="s">
        <v>74</v>
      </c>
      <c r="R28" s="104" t="str">
        <f>R13&amp;"T"&amp;Q6-1</f>
        <v>LycT1</v>
      </c>
      <c r="S28" s="6" t="str">
        <f>R13&amp;S13&amp;"T"&amp;Q6-1</f>
        <v>LycarbT1</v>
      </c>
      <c r="U28" s="107" t="str">
        <f>"B"&amp;$Q$6</f>
        <v>B2</v>
      </c>
      <c r="V28" s="107" t="str">
        <f>"D"&amp;$Q$6</f>
        <v>D2</v>
      </c>
      <c r="X28" s="146" t="str">
        <f>"C"&amp;$Q$6</f>
        <v>C2</v>
      </c>
      <c r="Y28" s="148" t="str">
        <f>"E"&amp;$Q$6</f>
        <v>E2</v>
      </c>
      <c r="AA28" s="406" t="str">
        <f>IF($Q$6=1,"C"&amp;$Q$6+2,IF($Q$6=2,"C"&amp;$Q$6-1,"C"&amp;$Q$6-1))</f>
        <v>C1</v>
      </c>
      <c r="AB28" s="397" t="str">
        <f>IF($Q$6=1,"B"&amp;$Q$6+2,IF($Q$6=2,"B"&amp;$Q$6-1,"B"&amp;$Q$6-1))</f>
        <v>B1</v>
      </c>
    </row>
    <row r="29" spans="1:28" s="6" customFormat="1" ht="12" customHeight="1" x14ac:dyDescent="0.2">
      <c r="A29" s="394"/>
      <c r="B29" s="400"/>
      <c r="C29" s="402"/>
      <c r="D29" s="404"/>
      <c r="E29" s="405"/>
      <c r="F29" s="404"/>
      <c r="G29" s="402"/>
      <c r="H29" s="92"/>
      <c r="I29" s="407"/>
      <c r="J29" s="129" t="str">
        <f ca="1">IF($Q$6=1,VLOOKUP(I28,INDIRECT($R$31),2),IF($Q$6=2,VLOOKUP(I28,INDIRECT($R$25),2),VLOOKUP(I28,INDIRECT($R$28),2)))</f>
        <v>1G1</v>
      </c>
      <c r="K29" s="408"/>
      <c r="L29" s="130" t="str">
        <f ca="1">IF($Q$6=1,VLOOKUP(M28,INDIRECT($R$31),2),IF($Q$6=2,VLOOKUP(M28,INDIRECT($R$25),2),VLOOKUP(M28,INDIRECT($R$28),2)))</f>
        <v>2n11</v>
      </c>
      <c r="M29" s="398"/>
      <c r="N29" s="79"/>
      <c r="Q29" s="118"/>
      <c r="R29" s="104"/>
      <c r="AA29" s="407"/>
      <c r="AB29" s="398"/>
    </row>
    <row r="30" spans="1:28" s="6" customFormat="1" ht="3" customHeight="1" x14ac:dyDescent="0.2">
      <c r="A30" s="133"/>
      <c r="B30" s="125"/>
      <c r="C30" s="138"/>
      <c r="D30" s="141"/>
      <c r="E30" s="90"/>
      <c r="F30" s="141"/>
      <c r="G30" s="138"/>
      <c r="H30" s="92"/>
      <c r="I30" s="128"/>
      <c r="J30" s="111"/>
      <c r="K30" s="84"/>
      <c r="L30" s="111"/>
      <c r="M30" s="128"/>
      <c r="N30" s="79"/>
      <c r="U30" s="108"/>
      <c r="V30" s="108"/>
      <c r="AA30" s="128"/>
      <c r="AB30" s="128"/>
    </row>
    <row r="31" spans="1:28" s="6" customFormat="1" ht="33" customHeight="1" x14ac:dyDescent="0.2">
      <c r="A31" s="399" t="s">
        <v>87</v>
      </c>
      <c r="B31" s="400">
        <v>9</v>
      </c>
      <c r="C31" s="401" t="str">
        <f>IF($A$2=6,U31,X31)</f>
        <v>A2</v>
      </c>
      <c r="D31" s="403" t="str">
        <f ca="1">VLOOKUP(C31,INDIRECT($R$16),2)</f>
        <v>TG3</v>
      </c>
      <c r="E31" s="405" t="s">
        <v>9</v>
      </c>
      <c r="F31" s="403" t="str">
        <f ca="1">VLOOKUP(G31,INDIRECT($R$16),2)</f>
        <v>2n6</v>
      </c>
      <c r="G31" s="401" t="str">
        <f>IF($A$2=6,V31,Y31)</f>
        <v>D2</v>
      </c>
      <c r="H31" s="134"/>
      <c r="I31" s="406" t="str">
        <f>IF(A2=6,IF($Q$6=1,"B"&amp;$Q$6+2,IF($Q$6=2,"B"&amp;$Q$6-1,"B"&amp;$Q$6-1)),AA31)</f>
        <v>D1</v>
      </c>
      <c r="J31" s="135" t="str">
        <f ca="1">IF($Q$6=1,VLOOKUP(I31,INDIRECT($S$31),3),IF($Q$6=2,VLOOKUP(I31,INDIRECT($S$25),3),VLOOKUP(I31,INDIRECT($S$28),3)))</f>
        <v>BUET-PES Joée</v>
      </c>
      <c r="K31" s="408" t="s">
        <v>56</v>
      </c>
      <c r="L31" s="136" t="str">
        <f ca="1">IF($Q$6=1,VLOOKUP(M31,INDIRECT($S$31),3),IF($Q$6=2,VLOOKUP(M31,INDIRECT($S$25),3),VLOOKUP(M31,INDIRECT($S$28),3)))</f>
        <v>MIR Lucie</v>
      </c>
      <c r="M31" s="397" t="str">
        <f>IF(A2=6,IF($Q$6=1,"D"&amp;$Q$6+2,IF($Q$6=2,"D"&amp;$Q$6-1,"D"&amp;$Q$6-1)),AB31)</f>
        <v>A1</v>
      </c>
      <c r="N31" s="79"/>
      <c r="Q31" s="53" t="s">
        <v>75</v>
      </c>
      <c r="R31" s="104" t="str">
        <f>R13&amp;"T"&amp;Q6+2</f>
        <v>LycT4</v>
      </c>
      <c r="S31" s="6" t="str">
        <f>R13&amp;S13&amp;"T"&amp;Q6+2</f>
        <v>LycarbT4</v>
      </c>
      <c r="U31" s="107" t="str">
        <f>"A"&amp;$Q$6</f>
        <v>A2</v>
      </c>
      <c r="V31" s="107" t="str">
        <f>"E"&amp;$Q$6</f>
        <v>E2</v>
      </c>
      <c r="X31" s="144" t="str">
        <f>"A"&amp;$Q$6</f>
        <v>A2</v>
      </c>
      <c r="Y31" s="147" t="str">
        <f>"D"&amp;$Q$6</f>
        <v>D2</v>
      </c>
      <c r="AA31" s="406" t="str">
        <f>IF($Q$6=1,"D"&amp;$Q$6+2,IF($Q$6=2,"D"&amp;$Q$6-1,"D"&amp;$Q$6-1))</f>
        <v>D1</v>
      </c>
      <c r="AB31" s="397" t="str">
        <f>IF($Q$6=1,"A"&amp;$Q$6+2,IF($Q$6=2,"A"&amp;$Q$6-1,"A"&amp;$Q$6-1))</f>
        <v>A1</v>
      </c>
    </row>
    <row r="32" spans="1:28" s="6" customFormat="1" ht="12" customHeight="1" x14ac:dyDescent="0.2">
      <c r="A32" s="394"/>
      <c r="B32" s="400"/>
      <c r="C32" s="402"/>
      <c r="D32" s="404"/>
      <c r="E32" s="405"/>
      <c r="F32" s="404"/>
      <c r="G32" s="402"/>
      <c r="H32" s="92"/>
      <c r="I32" s="407"/>
      <c r="J32" s="132" t="str">
        <f ca="1">IF($Q$6=1,VLOOKUP(I31,INDIRECT($R$31),2),IF($Q$6=2,VLOOKUP(I31,INDIRECT($R$25),2),VLOOKUP(I31,INDIRECT($R$28),2)))</f>
        <v>2n1</v>
      </c>
      <c r="K32" s="408"/>
      <c r="L32" s="130" t="str">
        <f ca="1">IF($Q$6=1,VLOOKUP(M31,INDIRECT($R$31),2),IF($Q$6=2,VLOOKUP(M31,INDIRECT($R$25),2),VLOOKUP(M31,INDIRECT($R$28),2)))</f>
        <v>TG1</v>
      </c>
      <c r="M32" s="398"/>
      <c r="N32" s="79"/>
      <c r="Q32" s="53"/>
      <c r="R32" s="104"/>
      <c r="U32" s="108"/>
      <c r="V32" s="108"/>
      <c r="AA32" s="407"/>
      <c r="AB32" s="398"/>
    </row>
    <row r="33" spans="1:28" s="6" customFormat="1" ht="3" customHeight="1" x14ac:dyDescent="0.2">
      <c r="A33" s="133"/>
      <c r="B33" s="125"/>
      <c r="C33" s="138"/>
      <c r="D33" s="141"/>
      <c r="E33" s="90"/>
      <c r="F33" s="141"/>
      <c r="G33" s="138"/>
      <c r="H33" s="92"/>
      <c r="I33" s="128"/>
      <c r="J33" s="111"/>
      <c r="K33" s="84"/>
      <c r="L33" s="111"/>
      <c r="M33" s="128"/>
      <c r="N33" s="79"/>
      <c r="AA33" s="128"/>
      <c r="AB33" s="128"/>
    </row>
    <row r="34" spans="1:28" s="6" customFormat="1" ht="33" customHeight="1" x14ac:dyDescent="0.2">
      <c r="A34" s="399" t="s">
        <v>88</v>
      </c>
      <c r="B34" s="400">
        <v>10</v>
      </c>
      <c r="C34" s="401" t="str">
        <f>IF($A$2=6,U34,X34)</f>
        <v>B2</v>
      </c>
      <c r="D34" s="403" t="str">
        <f ca="1">VLOOKUP(C34,INDIRECT($R$16),2)</f>
        <v>2n10</v>
      </c>
      <c r="E34" s="405" t="s">
        <v>9</v>
      </c>
      <c r="F34" s="403" t="str">
        <f ca="1">VLOOKUP(G34,INDIRECT($R$16),2)</f>
        <v>TSTMG1</v>
      </c>
      <c r="G34" s="401" t="str">
        <f>IF($A$2=6,V34,Y34)</f>
        <v>E2</v>
      </c>
      <c r="H34" s="134"/>
      <c r="I34" s="406" t="str">
        <f>IF(A2=6,IF($Q$6=1,"A"&amp;$Q$6+2,IF($Q$6=2,"A"&amp;$Q$6-1,"A"&amp;$Q$6-1)),AA34)</f>
        <v>B1</v>
      </c>
      <c r="J34" s="135" t="str">
        <f ca="1">IF($Q$6=1,VLOOKUP(I34,INDIRECT($S$31),3),IF($Q$6=2,VLOOKUP(I34,INDIRECT($S$25),3),VLOOKUP(I34,INDIRECT($S$28),3)))</f>
        <v>PREVOTEAU Lucie</v>
      </c>
      <c r="K34" s="408" t="s">
        <v>56</v>
      </c>
      <c r="L34" s="136" t="str">
        <f ca="1">IF($Q$6=1,VLOOKUP(M34,INDIRECT($S$31),3),IF($Q$6=2,VLOOKUP(M34,INDIRECT($S$25),3),VLOOKUP(M34,INDIRECT($S$28),3)))</f>
        <v>RAYMOND Lilou</v>
      </c>
      <c r="M34" s="397" t="str">
        <f>IF(A2=6,IF($Q$6=1,"B"&amp;$Q$6+2,IF($Q$6=2,"B"&amp;$Q$6-1,"B"&amp;$Q$6-1)),AB34)</f>
        <v>E1</v>
      </c>
      <c r="N34" s="79"/>
      <c r="U34" s="107" t="str">
        <f>"D"&amp;$Q$6</f>
        <v>D2</v>
      </c>
      <c r="V34" s="107" t="str">
        <f>"F"&amp;$Q$6</f>
        <v>F2</v>
      </c>
      <c r="X34" s="145" t="str">
        <f>"B"&amp;$Q$6</f>
        <v>B2</v>
      </c>
      <c r="Y34" s="148" t="str">
        <f>"E"&amp;$Q$6</f>
        <v>E2</v>
      </c>
      <c r="AA34" s="406" t="str">
        <f>IF($Q$6=1,"B"&amp;$Q$6+2,IF($Q$6=2,"B"&amp;$Q$6-1,"B"&amp;$Q$6-1))</f>
        <v>B1</v>
      </c>
      <c r="AB34" s="397" t="str">
        <f>IF($Q$6=1,"E"&amp;$Q$6+2,IF($Q$6=2,"E"&amp;$Q$6-1,"E"&amp;$Q$6-1))</f>
        <v>E1</v>
      </c>
    </row>
    <row r="35" spans="1:28" s="53" customFormat="1" ht="12" customHeight="1" x14ac:dyDescent="0.2">
      <c r="A35" s="394"/>
      <c r="B35" s="400"/>
      <c r="C35" s="402"/>
      <c r="D35" s="404"/>
      <c r="E35" s="405"/>
      <c r="F35" s="404"/>
      <c r="G35" s="402"/>
      <c r="H35" s="131"/>
      <c r="I35" s="407"/>
      <c r="J35" s="132" t="str">
        <f ca="1">IF($Q$6=1,VLOOKUP(I34,INDIRECT($R$31),2),IF($Q$6=2,VLOOKUP(I34,INDIRECT($R$25),2),VLOOKUP(I34,INDIRECT($R$28),2)))</f>
        <v>2n11</v>
      </c>
      <c r="K35" s="408"/>
      <c r="L35" s="130" t="str">
        <f ca="1">IF($Q$6=1,VLOOKUP(M34,INDIRECT($R$31),2),IF($Q$6=2,VLOOKUP(M34,INDIRECT($R$25),2),VLOOKUP(M34,INDIRECT($R$28),2)))</f>
        <v>TAGORA</v>
      </c>
      <c r="M35" s="398"/>
      <c r="AA35" s="407"/>
      <c r="AB35" s="398"/>
    </row>
    <row r="36" spans="1:28" s="6" customFormat="1" ht="3" customHeight="1" x14ac:dyDescent="0.2">
      <c r="A36" s="133"/>
      <c r="B36" s="125"/>
      <c r="C36" s="138"/>
      <c r="D36" s="141"/>
      <c r="E36" s="90"/>
      <c r="F36" s="141"/>
      <c r="G36" s="138"/>
      <c r="H36" s="92"/>
      <c r="I36" s="128"/>
      <c r="J36" s="111"/>
      <c r="K36" s="84"/>
      <c r="L36" s="111"/>
      <c r="M36" s="128"/>
      <c r="N36" s="79"/>
      <c r="AA36" s="128"/>
      <c r="AB36" s="128"/>
    </row>
    <row r="37" spans="1:28" s="6" customFormat="1" ht="33" customHeight="1" x14ac:dyDescent="0.2">
      <c r="A37" s="399" t="s">
        <v>89</v>
      </c>
      <c r="B37" s="400">
        <v>11</v>
      </c>
      <c r="C37" s="401">
        <f>IF($A$2=6,U37,X37)</f>
        <v>0</v>
      </c>
      <c r="D37" s="403" t="str">
        <f ca="1">IF(C37=0,"",VLOOKUP(C37,INDIRECT($R$16),2))</f>
        <v/>
      </c>
      <c r="E37" s="405" t="s">
        <v>9</v>
      </c>
      <c r="F37" s="403" t="str">
        <f ca="1">IF(G37=0,"",VLOOKUP(G37,INDIRECT($R$16),2))</f>
        <v/>
      </c>
      <c r="G37" s="401">
        <f>IF($A$2=6,V37,Y37)</f>
        <v>0</v>
      </c>
      <c r="H37" s="92"/>
      <c r="I37" s="139" t="str">
        <f>IF(A2=5,"",IF($Q$6=1,"D"&amp;$Q$6+2,IF($Q$6=2,"D"&amp;$Q$6-1,"D"&amp;$Q$6-1)))</f>
        <v/>
      </c>
      <c r="J37" s="135" t="str">
        <f ca="1">IF(I37="","",IF($Q$6=1,VLOOKUP(I37,INDIRECT($S$31),3),IF($Q$6=2,VLOOKUP(I37,INDIRECT($S$25),3),VLOOKUP(I37,INDIRECT($S$28),3))))</f>
        <v/>
      </c>
      <c r="K37" s="408" t="s">
        <v>56</v>
      </c>
      <c r="L37" s="136" t="str">
        <f ca="1">IF(M37="","",IF($Q$6=1,VLOOKUP(M37,INDIRECT($S$31),3),IF($Q$6=2,VLOOKUP(M37,INDIRECT($S$25),3),VLOOKUP(M37,INDIRECT($S$28),3))))</f>
        <v/>
      </c>
      <c r="M37" s="397" t="str">
        <f>IF(A2=5,"",IF($Q$6=1,"F"&amp;$Q$6+2,IF($Q$6=2,"F"&amp;$Q$6-1,"F"&amp;$Q$6-1)))</f>
        <v/>
      </c>
      <c r="N37" s="79"/>
      <c r="U37" s="107" t="str">
        <f>"C"&amp;$Q$6</f>
        <v>C2</v>
      </c>
      <c r="V37" s="107" t="str">
        <f>"E"&amp;$Q$6</f>
        <v>E2</v>
      </c>
      <c r="AA37" s="139" t="str">
        <f>IF(S2=5,"",IF($Q$6=1,"D"&amp;$Q$6+2,IF($Q$6=2,"D"&amp;$Q$6-1,"D"&amp;$Q$6-1)))</f>
        <v>D1</v>
      </c>
      <c r="AB37" s="397" t="str">
        <f>IF(P2=5,"",IF($Q$6=1,"F"&amp;$Q$6+2,IF($Q$6=2,"F"&amp;$Q$6-1,"F"&amp;$Q$6-1)))</f>
        <v>F1</v>
      </c>
    </row>
    <row r="38" spans="1:28" s="53" customFormat="1" ht="12" customHeight="1" x14ac:dyDescent="0.2">
      <c r="A38" s="394"/>
      <c r="B38" s="400"/>
      <c r="C38" s="402"/>
      <c r="D38" s="404"/>
      <c r="E38" s="405"/>
      <c r="F38" s="404"/>
      <c r="G38" s="402"/>
      <c r="H38" s="131"/>
      <c r="I38" s="130"/>
      <c r="J38" s="132" t="str">
        <f ca="1">IF(I37="","",IF($Q$6=1,VLOOKUP(I37,INDIRECT($R$31),2),IF($Q$6=2,VLOOKUP(I37,INDIRECT($R$25),2),VLOOKUP(I37,INDIRECT($R$28),2))))</f>
        <v/>
      </c>
      <c r="K38" s="408"/>
      <c r="L38" s="130" t="str">
        <f ca="1">IF(M37="","",IF($Q$6=1,VLOOKUP(M37,INDIRECT($R$31),2),IF($Q$6=2,VLOOKUP(M37,INDIRECT($R$25),2),VLOOKUP(M37,INDIRECT($R$28),2))))</f>
        <v/>
      </c>
      <c r="M38" s="398"/>
      <c r="AA38" s="130"/>
      <c r="AB38" s="398"/>
    </row>
    <row r="39" spans="1:28" s="6" customFormat="1" ht="3" customHeight="1" x14ac:dyDescent="0.2">
      <c r="A39" s="133"/>
      <c r="B39" s="125"/>
      <c r="C39" s="138"/>
      <c r="D39" s="141"/>
      <c r="E39" s="90"/>
      <c r="F39" s="141"/>
      <c r="G39" s="138"/>
      <c r="H39" s="92"/>
      <c r="I39" s="128"/>
      <c r="J39" s="111"/>
      <c r="K39" s="84"/>
      <c r="L39" s="111"/>
      <c r="M39" s="128"/>
      <c r="N39" s="79"/>
      <c r="AA39" s="128"/>
      <c r="AB39" s="128"/>
    </row>
    <row r="40" spans="1:28" s="6" customFormat="1" ht="33" customHeight="1" x14ac:dyDescent="0.2">
      <c r="A40" s="399" t="s">
        <v>90</v>
      </c>
      <c r="B40" s="400">
        <v>12</v>
      </c>
      <c r="C40" s="401">
        <f>IF($A$2=6,U40,X40)</f>
        <v>0</v>
      </c>
      <c r="D40" s="403" t="str">
        <f ca="1">IF(C37=0,"",VLOOKUP(C40,INDIRECT($R$16),2))</f>
        <v/>
      </c>
      <c r="E40" s="405" t="s">
        <v>9</v>
      </c>
      <c r="F40" s="403" t="str">
        <f ca="1">IF(G37=0,"",VLOOKUP(G40,INDIRECT($R$16),2))</f>
        <v/>
      </c>
      <c r="G40" s="401">
        <f>IF($A$2=6,V40,Y40)</f>
        <v>0</v>
      </c>
      <c r="H40" s="134"/>
      <c r="I40" s="406" t="str">
        <f>IF(A2=5,"",IF($Q$6=1,"C"&amp;$Q$6+2,IF($Q$6=2,"C"&amp;$Q$6-1,"C"&amp;$Q$6-1)))</f>
        <v/>
      </c>
      <c r="J40" s="135" t="str">
        <f ca="1">IF(I37="","",IF($Q$6=1,VLOOKUP(I40,INDIRECT($S$31),3),IF($Q$6=2,VLOOKUP(I40,INDIRECT($S$25),3),VLOOKUP(I40,INDIRECT($S$28),3))))</f>
        <v/>
      </c>
      <c r="K40" s="408" t="s">
        <v>56</v>
      </c>
      <c r="L40" s="136" t="str">
        <f ca="1">IF(M37="","",IF($Q$6=1,VLOOKUP(M40,INDIRECT($S$31),3),IF($Q$6=2,VLOOKUP(M40,INDIRECT($S$25),3),VLOOKUP(M40,INDIRECT($S$28),3))))</f>
        <v/>
      </c>
      <c r="M40" s="397" t="str">
        <f>IF(A2=5,"",IF($Q$6=1,"E"&amp;$Q$6+2,IF($Q$6=2,"E"&amp;$Q$6-1,"E"&amp;$Q$6-1)))</f>
        <v/>
      </c>
      <c r="N40" s="79"/>
      <c r="U40" s="107" t="str">
        <f>"A"&amp;$Q$6</f>
        <v>A2</v>
      </c>
      <c r="V40" s="107" t="str">
        <f>"B"&amp;$Q$6</f>
        <v>B2</v>
      </c>
      <c r="AA40" s="406" t="str">
        <f>IF(S2=5,"",IF($Q$6=1,"C"&amp;$Q$6+2,IF($Q$6=2,"C"&amp;$Q$6-1,"C"&amp;$Q$6-1)))</f>
        <v>C1</v>
      </c>
      <c r="AB40" s="397" t="str">
        <f>IF(P2=5,"",IF($Q$6=1,"E"&amp;$Q$6+2,IF($Q$6=2,"E"&amp;$Q$6-1,"E"&amp;$Q$6-1)))</f>
        <v>E1</v>
      </c>
    </row>
    <row r="41" spans="1:28" s="6" customFormat="1" ht="12" customHeight="1" x14ac:dyDescent="0.2">
      <c r="A41" s="394"/>
      <c r="B41" s="400"/>
      <c r="C41" s="402"/>
      <c r="D41" s="404"/>
      <c r="E41" s="405"/>
      <c r="F41" s="404"/>
      <c r="G41" s="402"/>
      <c r="H41" s="92"/>
      <c r="I41" s="407"/>
      <c r="J41" s="129" t="str">
        <f ca="1">IF(I37="","",IF($Q$6=1,VLOOKUP(I40,INDIRECT($R$31),2),IF($Q$6=2,VLOOKUP(I40,INDIRECT($R$25),2),VLOOKUP(I40,INDIRECT($R$28),2))))</f>
        <v/>
      </c>
      <c r="K41" s="408"/>
      <c r="L41" s="130" t="str">
        <f ca="1">IF(M37="","",IF($Q$6=1,VLOOKUP(M40,INDIRECT($R$31),2),IF($Q$6=2,VLOOKUP(M40,INDIRECT($R$25),2),VLOOKUP(M40,INDIRECT($R$28),2))))</f>
        <v/>
      </c>
      <c r="M41" s="398"/>
      <c r="N41" s="79"/>
      <c r="AA41" s="407"/>
      <c r="AB41" s="398"/>
    </row>
    <row r="42" spans="1:28" s="6" customFormat="1" ht="3" customHeight="1" x14ac:dyDescent="0.2">
      <c r="A42" s="133"/>
      <c r="B42" s="125"/>
      <c r="C42" s="138"/>
      <c r="D42" s="141"/>
      <c r="E42" s="90"/>
      <c r="F42" s="141"/>
      <c r="G42" s="138"/>
      <c r="H42" s="92"/>
      <c r="I42" s="128"/>
      <c r="J42" s="111"/>
      <c r="K42" s="84"/>
      <c r="L42" s="111"/>
      <c r="M42" s="128"/>
      <c r="N42" s="79"/>
      <c r="AA42" s="128"/>
      <c r="AB42" s="128"/>
    </row>
    <row r="43" spans="1:28" s="6" customFormat="1" ht="33" customHeight="1" x14ac:dyDescent="0.2">
      <c r="A43" s="399" t="s">
        <v>91</v>
      </c>
      <c r="B43" s="400">
        <v>13</v>
      </c>
      <c r="C43" s="401">
        <f>IF($A$2=6,U43,X43)</f>
        <v>0</v>
      </c>
      <c r="D43" s="403" t="str">
        <f ca="1">IF(C37=0,"",VLOOKUP(C43,INDIRECT($R$16),2))</f>
        <v/>
      </c>
      <c r="E43" s="405" t="s">
        <v>9</v>
      </c>
      <c r="F43" s="403" t="str">
        <f ca="1">IF(G37=0,"",VLOOKUP(G43,INDIRECT($R$16),2))</f>
        <v/>
      </c>
      <c r="G43" s="401">
        <f>IF($A$2=6,V43,Y43)</f>
        <v>0</v>
      </c>
      <c r="H43" s="134"/>
      <c r="I43" s="406" t="str">
        <f>IF(A2=5,"",IF($Q$6=1,"B"&amp;$Q$6+2,IF($Q$6=2,"B"&amp;$Q$6-1,"B"&amp;$Q$6-1)))</f>
        <v/>
      </c>
      <c r="J43" s="135" t="str">
        <f ca="1">IF(I37="","",IF($Q$6=1,VLOOKUP(I43,INDIRECT($S$31),3),IF($Q$6=2,VLOOKUP(I43,INDIRECT($S$25),3),VLOOKUP(I43,INDIRECT($S$28),3))))</f>
        <v/>
      </c>
      <c r="K43" s="408" t="s">
        <v>56</v>
      </c>
      <c r="L43" s="136" t="str">
        <f ca="1">IF(M37="","",IF($Q$6=1,VLOOKUP(M43,INDIRECT($S$31),3),IF($Q$6=2,VLOOKUP(M43,INDIRECT($S$25),3),VLOOKUP(M43,INDIRECT($S$28),3))))</f>
        <v/>
      </c>
      <c r="M43" s="397" t="str">
        <f>IF(A2=5,"",IF($Q$6=1,"C"&amp;$Q$6+2,IF($Q$6=2,"C"&amp;$Q$6-1,"C"&amp;$Q$6-1)))</f>
        <v/>
      </c>
      <c r="N43" s="79"/>
      <c r="U43" s="107" t="str">
        <f>"E"&amp;$Q$6</f>
        <v>E2</v>
      </c>
      <c r="V43" s="107" t="str">
        <f>"F"&amp;$Q$6</f>
        <v>F2</v>
      </c>
      <c r="AA43" s="406" t="str">
        <f>IF(S2=5,"",IF($Q$6=1,"B"&amp;$Q$6+2,IF($Q$6=2,"B"&amp;$Q$6-1,"B"&amp;$Q$6-1)))</f>
        <v>B1</v>
      </c>
      <c r="AB43" s="397" t="str">
        <f>IF(P2=5,"",IF($Q$6=1,"C"&amp;$Q$6+2,IF($Q$6=2,"C"&amp;$Q$6-1,"C"&amp;$Q$6-1)))</f>
        <v>C1</v>
      </c>
    </row>
    <row r="44" spans="1:28" s="6" customFormat="1" ht="12" customHeight="1" x14ac:dyDescent="0.2">
      <c r="A44" s="394"/>
      <c r="B44" s="400"/>
      <c r="C44" s="402"/>
      <c r="D44" s="404"/>
      <c r="E44" s="405"/>
      <c r="F44" s="404"/>
      <c r="G44" s="402"/>
      <c r="H44" s="92"/>
      <c r="I44" s="407"/>
      <c r="J44" s="132" t="str">
        <f ca="1">IF(I37="","",IF($Q$6=1,VLOOKUP(I43,INDIRECT($R$31),2),IF($Q$6=2,VLOOKUP(I43,INDIRECT($R$25),2),VLOOKUP(I43,INDIRECT($R$28),2))))</f>
        <v/>
      </c>
      <c r="K44" s="408"/>
      <c r="L44" s="130" t="str">
        <f ca="1">IF(M37="","",IF($Q$6=1,VLOOKUP(M43,INDIRECT($R$31),2),IF($Q$6=2,VLOOKUP(M43,INDIRECT($R$25),2),VLOOKUP(M43,INDIRECT($R$28),2))))</f>
        <v/>
      </c>
      <c r="M44" s="398"/>
      <c r="N44" s="79"/>
      <c r="AA44" s="407"/>
      <c r="AB44" s="398"/>
    </row>
    <row r="45" spans="1:28" s="6" customFormat="1" ht="3" customHeight="1" x14ac:dyDescent="0.2">
      <c r="A45" s="133"/>
      <c r="B45" s="125"/>
      <c r="C45" s="138"/>
      <c r="D45" s="141"/>
      <c r="E45" s="90"/>
      <c r="F45" s="141"/>
      <c r="G45" s="138"/>
      <c r="H45" s="92"/>
      <c r="I45" s="128"/>
      <c r="J45" s="111"/>
      <c r="K45" s="84"/>
      <c r="L45" s="111"/>
      <c r="M45" s="128"/>
      <c r="N45" s="79"/>
      <c r="AA45" s="128"/>
      <c r="AB45" s="128"/>
    </row>
    <row r="46" spans="1:28" s="6" customFormat="1" ht="33" customHeight="1" x14ac:dyDescent="0.2">
      <c r="A46" s="399" t="s">
        <v>92</v>
      </c>
      <c r="B46" s="400">
        <v>14</v>
      </c>
      <c r="C46" s="401">
        <f>IF($A$2=6,U46,X46)</f>
        <v>0</v>
      </c>
      <c r="D46" s="403" t="str">
        <f ca="1">IF(C37=0,"",VLOOKUP(C46,INDIRECT($R$16),2))</f>
        <v/>
      </c>
      <c r="E46" s="405" t="s">
        <v>9</v>
      </c>
      <c r="F46" s="403" t="str">
        <f ca="1">IF(G37=0,"",VLOOKUP(G46,INDIRECT($R$16),2))</f>
        <v/>
      </c>
      <c r="G46" s="401">
        <f>IF($A$2=6,V46,Y46)</f>
        <v>0</v>
      </c>
      <c r="H46" s="92"/>
      <c r="I46" s="406" t="str">
        <f>IF(A2=5,"",IF($Q$6=1,"E"&amp;$Q$6+2,IF($Q$6=2,"E"&amp;$Q$6-1,"E"&amp;$Q$6-1)))</f>
        <v/>
      </c>
      <c r="J46" s="135" t="str">
        <f ca="1">IF(I37="","",IF($Q$6=1,VLOOKUP(I46,INDIRECT($S$31),3),IF($Q$6=2,VLOOKUP(I46,INDIRECT($S$25),3),VLOOKUP(I46,INDIRECT($S$28),3))))</f>
        <v/>
      </c>
      <c r="K46" s="408" t="s">
        <v>56</v>
      </c>
      <c r="L46" s="136" t="str">
        <f ca="1">IF(M37="","",IF($Q$6=1,VLOOKUP(M46,INDIRECT($S$31),3),IF($Q$6=2,VLOOKUP(M46,INDIRECT($S$25),3),VLOOKUP(M46,INDIRECT($S$28),3))))</f>
        <v/>
      </c>
      <c r="M46" s="397" t="str">
        <f>IF(A2=5,"",IF($Q$6=1,"F"&amp;$Q$6+2,IF($Q$6=2,"F"&amp;$Q$6-1,"F"&amp;$Q$6-1)))</f>
        <v/>
      </c>
      <c r="N46" s="79"/>
      <c r="U46" s="107" t="str">
        <f>"A"&amp;$Q$6</f>
        <v>A2</v>
      </c>
      <c r="V46" s="107" t="str">
        <f>"D"&amp;$Q$6</f>
        <v>D2</v>
      </c>
      <c r="AA46" s="406" t="str">
        <f>IF(S2=5,"",IF($Q$6=1,"E"&amp;$Q$6+2,IF($Q$6=2,"E"&amp;$Q$6-1,"E"&amp;$Q$6-1)))</f>
        <v>E1</v>
      </c>
      <c r="AB46" s="397" t="str">
        <f>IF(P2=5,"",IF($Q$6=1,"F"&amp;$Q$6+2,IF($Q$6=2,"F"&amp;$Q$6-1,"F"&amp;$Q$6-1)))</f>
        <v>F1</v>
      </c>
    </row>
    <row r="47" spans="1:28" s="53" customFormat="1" ht="12" customHeight="1" x14ac:dyDescent="0.2">
      <c r="A47" s="394"/>
      <c r="B47" s="400"/>
      <c r="C47" s="402"/>
      <c r="D47" s="404"/>
      <c r="E47" s="405"/>
      <c r="F47" s="404"/>
      <c r="G47" s="402"/>
      <c r="H47" s="131"/>
      <c r="I47" s="407"/>
      <c r="J47" s="132" t="str">
        <f ca="1">IF(I37="","",IF($Q$6=1,VLOOKUP(I46,INDIRECT($R$31),2),IF($Q$6=2,VLOOKUP(I46,INDIRECT($R$25),2),VLOOKUP(I46,INDIRECT($R$28),2))))</f>
        <v/>
      </c>
      <c r="K47" s="408"/>
      <c r="L47" s="130" t="str">
        <f ca="1">IF(M37="","",IF($Q$6=1,VLOOKUP(M46,INDIRECT($R$31),2),IF($Q$6=2,VLOOKUP(M46,INDIRECT($R$25),2),VLOOKUP(M46,INDIRECT($R$28),2))))</f>
        <v/>
      </c>
      <c r="M47" s="398"/>
      <c r="AA47" s="407"/>
      <c r="AB47" s="398"/>
    </row>
    <row r="48" spans="1:28" s="6" customFormat="1" ht="3" customHeight="1" x14ac:dyDescent="0.2">
      <c r="A48" s="133"/>
      <c r="B48" s="125"/>
      <c r="C48" s="138"/>
      <c r="D48" s="141"/>
      <c r="E48" s="90"/>
      <c r="F48" s="141"/>
      <c r="G48" s="138"/>
      <c r="H48" s="92"/>
      <c r="I48" s="128"/>
      <c r="J48" s="111"/>
      <c r="K48" s="84"/>
      <c r="L48" s="111"/>
      <c r="M48" s="128"/>
      <c r="N48" s="79"/>
      <c r="AA48" s="128"/>
      <c r="AB48" s="128"/>
    </row>
    <row r="49" spans="1:28" s="6" customFormat="1" ht="33" customHeight="1" x14ac:dyDescent="0.2">
      <c r="A49" s="399" t="s">
        <v>93</v>
      </c>
      <c r="B49" s="400">
        <v>15</v>
      </c>
      <c r="C49" s="401">
        <f>IF($A$2=6,U49,X49)</f>
        <v>0</v>
      </c>
      <c r="D49" s="403" t="str">
        <f ca="1">IF(C37=0,"",VLOOKUP(C49,INDIRECT($R$16),2))</f>
        <v/>
      </c>
      <c r="E49" s="405" t="s">
        <v>9</v>
      </c>
      <c r="F49" s="403" t="str">
        <f ca="1">IF(G37=0,"",VLOOKUP(G49,INDIRECT($R$16),2))</f>
        <v/>
      </c>
      <c r="G49" s="401">
        <f>IF($A$2=6,V49,Y49)</f>
        <v>0</v>
      </c>
      <c r="H49" s="134"/>
      <c r="I49" s="406" t="str">
        <f>IF(A2=5,"",IF($Q$6=1,"A"&amp;$Q$6+2,IF($Q$6=2,"A"&amp;$Q$6-1,"A"&amp;$Q$6-1)))</f>
        <v/>
      </c>
      <c r="J49" s="135" t="str">
        <f ca="1">IF(I37="","",IF($Q$6=1,VLOOKUP(I49,INDIRECT($S$31),3),IF($Q$6=2,VLOOKUP(I49,INDIRECT($S$25),3),VLOOKUP(I49,INDIRECT($S$28),3))))</f>
        <v/>
      </c>
      <c r="K49" s="408" t="s">
        <v>56</v>
      </c>
      <c r="L49" s="136" t="str">
        <f ca="1">IF(M37="","",IF($Q$6=1,VLOOKUP(M49,INDIRECT($S$31),3),IF($Q$6=2,VLOOKUP(M49,INDIRECT($S$25),3),VLOOKUP(M49,INDIRECT($S$28),3))))</f>
        <v/>
      </c>
      <c r="M49" s="397" t="str">
        <f>IF(A2=5,"",IF($Q$6=1,"D"&amp;$Q$6+2,IF($Q$6=2,"D"&amp;$Q$6-1,"D"&amp;$Q$6-1)))</f>
        <v/>
      </c>
      <c r="N49" s="79"/>
      <c r="U49" s="107" t="str">
        <f>"B"&amp;$Q$6</f>
        <v>B2</v>
      </c>
      <c r="V49" s="107" t="str">
        <f>"C"&amp;$Q$6</f>
        <v>C2</v>
      </c>
      <c r="AA49" s="406" t="str">
        <f>IF(S2=5,"",IF($Q$6=1,"A"&amp;$Q$6+2,IF($Q$6=2,"A"&amp;$Q$6-1,"A"&amp;$Q$6-1)))</f>
        <v>A1</v>
      </c>
      <c r="AB49" s="397" t="str">
        <f>IF(P2=5,"",IF($Q$6=1,"D"&amp;$Q$6+2,IF($Q$6=2,"D"&amp;$Q$6-1,"D"&amp;$Q$6-1)))</f>
        <v>D1</v>
      </c>
    </row>
    <row r="50" spans="1:28" s="6" customFormat="1" ht="12" customHeight="1" x14ac:dyDescent="0.2">
      <c r="A50" s="394"/>
      <c r="B50" s="400"/>
      <c r="C50" s="402"/>
      <c r="D50" s="404"/>
      <c r="E50" s="405"/>
      <c r="F50" s="404"/>
      <c r="G50" s="402"/>
      <c r="H50" s="92"/>
      <c r="I50" s="407"/>
      <c r="J50" s="132" t="str">
        <f ca="1">IF(I37="","",IF($Q$6=1,VLOOKUP(I49,INDIRECT($R$31),2),IF($Q$6=2,VLOOKUP(I49,INDIRECT($R$25),2),VLOOKUP(I49,INDIRECT($R$28),2))))</f>
        <v/>
      </c>
      <c r="K50" s="408"/>
      <c r="L50" s="130" t="str">
        <f ca="1">IF(M37="","",IF($Q$6=1,VLOOKUP(M49,INDIRECT($R$31),2),IF($Q$6=2,VLOOKUP(M49,INDIRECT($R$25),2),VLOOKUP(M49,INDIRECT($R$28),2))))</f>
        <v/>
      </c>
      <c r="M50" s="398"/>
      <c r="N50" s="79"/>
      <c r="AA50" s="407"/>
      <c r="AB50" s="398"/>
    </row>
    <row r="51" spans="1:28" x14ac:dyDescent="0.25">
      <c r="C51" s="121" t="s">
        <v>78</v>
      </c>
    </row>
    <row r="53" spans="1:28" x14ac:dyDescent="0.25">
      <c r="R53" s="6" t="s">
        <v>97</v>
      </c>
      <c r="S53" s="6">
        <f>COUNTA(POULE1!C3:C9)</f>
        <v>6</v>
      </c>
      <c r="T53" s="6">
        <f>COUNTA(POULE1!G3:G9)</f>
        <v>6</v>
      </c>
    </row>
    <row r="54" spans="1:28" x14ac:dyDescent="0.25">
      <c r="I54" s="406"/>
      <c r="R54" s="6"/>
      <c r="S54" s="6"/>
      <c r="T54" s="6"/>
    </row>
    <row r="55" spans="1:28" x14ac:dyDescent="0.25">
      <c r="I55" s="407"/>
      <c r="R55" s="6" t="s">
        <v>98</v>
      </c>
      <c r="S55" s="6">
        <f>COUNTA('POULE 2'!C3:C9)</f>
        <v>6</v>
      </c>
      <c r="T55" s="6">
        <f>COUNTA('POULE 2'!G3:G9)</f>
        <v>6</v>
      </c>
    </row>
    <row r="56" spans="1:28" x14ac:dyDescent="0.25">
      <c r="R56" s="6"/>
      <c r="S56" s="6"/>
      <c r="T56" s="6"/>
    </row>
    <row r="57" spans="1:28" x14ac:dyDescent="0.25">
      <c r="R57" s="6" t="s">
        <v>99</v>
      </c>
      <c r="S57" s="6">
        <f>COUNTA('POULE 3'!C3:C7)</f>
        <v>5</v>
      </c>
      <c r="T57" s="6">
        <f>COUNTA('POULE 3'!G3:G8)</f>
        <v>6</v>
      </c>
    </row>
  </sheetData>
  <mergeCells count="183">
    <mergeCell ref="C1:M1"/>
    <mergeCell ref="C2:M2"/>
    <mergeCell ref="C3:M3"/>
    <mergeCell ref="I5:M5"/>
    <mergeCell ref="A7:A8"/>
    <mergeCell ref="B7:B8"/>
    <mergeCell ref="C7:C8"/>
    <mergeCell ref="D7:D8"/>
    <mergeCell ref="E7:E8"/>
    <mergeCell ref="F7:F8"/>
    <mergeCell ref="G7:G8"/>
    <mergeCell ref="I7:I8"/>
    <mergeCell ref="K7:K8"/>
    <mergeCell ref="M7:M8"/>
    <mergeCell ref="AA7:AA8"/>
    <mergeCell ref="AB7:AB8"/>
    <mergeCell ref="A10:A11"/>
    <mergeCell ref="B10:B11"/>
    <mergeCell ref="C10:C11"/>
    <mergeCell ref="D10:D11"/>
    <mergeCell ref="E10:E11"/>
    <mergeCell ref="F10:F11"/>
    <mergeCell ref="G10:G11"/>
    <mergeCell ref="I10:I11"/>
    <mergeCell ref="K10:K11"/>
    <mergeCell ref="M10:M11"/>
    <mergeCell ref="AA10:AA11"/>
    <mergeCell ref="AB10:AB11"/>
    <mergeCell ref="M13:M14"/>
    <mergeCell ref="AA13:AA14"/>
    <mergeCell ref="AB13:AB14"/>
    <mergeCell ref="A16:A17"/>
    <mergeCell ref="B16:B17"/>
    <mergeCell ref="C16:C17"/>
    <mergeCell ref="D16:D17"/>
    <mergeCell ref="E16:E17"/>
    <mergeCell ref="F16:F17"/>
    <mergeCell ref="G16:G17"/>
    <mergeCell ref="I16:I17"/>
    <mergeCell ref="K16:K17"/>
    <mergeCell ref="M16:M17"/>
    <mergeCell ref="AA16:AA17"/>
    <mergeCell ref="AB16:AB17"/>
    <mergeCell ref="A13:A14"/>
    <mergeCell ref="B13:B14"/>
    <mergeCell ref="C13:C14"/>
    <mergeCell ref="D13:D14"/>
    <mergeCell ref="E13:E14"/>
    <mergeCell ref="F13:F14"/>
    <mergeCell ref="G13:G14"/>
    <mergeCell ref="I13:I14"/>
    <mergeCell ref="K13:K14"/>
    <mergeCell ref="M19:M20"/>
    <mergeCell ref="AA19:AA20"/>
    <mergeCell ref="AB19:AB20"/>
    <mergeCell ref="A22:A23"/>
    <mergeCell ref="B22:B23"/>
    <mergeCell ref="C22:C23"/>
    <mergeCell ref="D22:D23"/>
    <mergeCell ref="E22:E23"/>
    <mergeCell ref="F22:F23"/>
    <mergeCell ref="G22:G23"/>
    <mergeCell ref="I22:I23"/>
    <mergeCell ref="K22:K23"/>
    <mergeCell ref="M22:M23"/>
    <mergeCell ref="AA22:AA23"/>
    <mergeCell ref="AB22:AB23"/>
    <mergeCell ref="A19:A20"/>
    <mergeCell ref="B19:B20"/>
    <mergeCell ref="C19:C20"/>
    <mergeCell ref="D19:D20"/>
    <mergeCell ref="E19:E20"/>
    <mergeCell ref="F19:F20"/>
    <mergeCell ref="G19:G20"/>
    <mergeCell ref="I19:I20"/>
    <mergeCell ref="K19:K20"/>
    <mergeCell ref="M25:M26"/>
    <mergeCell ref="AA25:AA26"/>
    <mergeCell ref="AB25:AB26"/>
    <mergeCell ref="A28:A29"/>
    <mergeCell ref="B28:B29"/>
    <mergeCell ref="C28:C29"/>
    <mergeCell ref="D28:D29"/>
    <mergeCell ref="E28:E29"/>
    <mergeCell ref="F28:F29"/>
    <mergeCell ref="G28:G29"/>
    <mergeCell ref="I28:I29"/>
    <mergeCell ref="K28:K29"/>
    <mergeCell ref="M28:M29"/>
    <mergeCell ref="AA28:AA29"/>
    <mergeCell ref="AB28:AB29"/>
    <mergeCell ref="A25:A26"/>
    <mergeCell ref="B25:B26"/>
    <mergeCell ref="C25:C26"/>
    <mergeCell ref="D25:D26"/>
    <mergeCell ref="E25:E26"/>
    <mergeCell ref="F25:F26"/>
    <mergeCell ref="G25:G26"/>
    <mergeCell ref="I25:I26"/>
    <mergeCell ref="K25:K26"/>
    <mergeCell ref="M31:M32"/>
    <mergeCell ref="AA31:AA32"/>
    <mergeCell ref="AB31:AB32"/>
    <mergeCell ref="A34:A35"/>
    <mergeCell ref="B34:B35"/>
    <mergeCell ref="C34:C35"/>
    <mergeCell ref="D34:D35"/>
    <mergeCell ref="E34:E35"/>
    <mergeCell ref="F34:F35"/>
    <mergeCell ref="G34:G35"/>
    <mergeCell ref="I34:I35"/>
    <mergeCell ref="K34:K35"/>
    <mergeCell ref="M34:M35"/>
    <mergeCell ref="AA34:AA35"/>
    <mergeCell ref="AB34:AB35"/>
    <mergeCell ref="A31:A32"/>
    <mergeCell ref="B31:B32"/>
    <mergeCell ref="C31:C32"/>
    <mergeCell ref="D31:D32"/>
    <mergeCell ref="E31:E32"/>
    <mergeCell ref="F31:F32"/>
    <mergeCell ref="G31:G32"/>
    <mergeCell ref="I31:I32"/>
    <mergeCell ref="K31:K32"/>
    <mergeCell ref="AB37:AB38"/>
    <mergeCell ref="A40:A41"/>
    <mergeCell ref="B40:B41"/>
    <mergeCell ref="C40:C41"/>
    <mergeCell ref="D40:D41"/>
    <mergeCell ref="E40:E41"/>
    <mergeCell ref="F40:F41"/>
    <mergeCell ref="G40:G41"/>
    <mergeCell ref="I40:I41"/>
    <mergeCell ref="K40:K41"/>
    <mergeCell ref="M40:M41"/>
    <mergeCell ref="AA40:AA41"/>
    <mergeCell ref="AB40:AB41"/>
    <mergeCell ref="A37:A38"/>
    <mergeCell ref="B37:B38"/>
    <mergeCell ref="C37:C38"/>
    <mergeCell ref="D37:D38"/>
    <mergeCell ref="E37:E38"/>
    <mergeCell ref="F37:F38"/>
    <mergeCell ref="G37:G38"/>
    <mergeCell ref="K37:K38"/>
    <mergeCell ref="M37:M38"/>
    <mergeCell ref="M43:M44"/>
    <mergeCell ref="AA43:AA44"/>
    <mergeCell ref="AB43:AB44"/>
    <mergeCell ref="A46:A47"/>
    <mergeCell ref="B46:B47"/>
    <mergeCell ref="C46:C47"/>
    <mergeCell ref="D46:D47"/>
    <mergeCell ref="E46:E47"/>
    <mergeCell ref="F46:F47"/>
    <mergeCell ref="G46:G47"/>
    <mergeCell ref="I46:I47"/>
    <mergeCell ref="K46:K47"/>
    <mergeCell ref="M46:M47"/>
    <mergeCell ref="AA46:AA47"/>
    <mergeCell ref="AB46:AB47"/>
    <mergeCell ref="A43:A44"/>
    <mergeCell ref="B43:B44"/>
    <mergeCell ref="C43:C44"/>
    <mergeCell ref="D43:D44"/>
    <mergeCell ref="E43:E44"/>
    <mergeCell ref="F43:F44"/>
    <mergeCell ref="G43:G44"/>
    <mergeCell ref="I43:I44"/>
    <mergeCell ref="K43:K44"/>
    <mergeCell ref="AB49:AB50"/>
    <mergeCell ref="A49:A50"/>
    <mergeCell ref="B49:B50"/>
    <mergeCell ref="C49:C50"/>
    <mergeCell ref="D49:D50"/>
    <mergeCell ref="E49:E50"/>
    <mergeCell ref="F49:F50"/>
    <mergeCell ref="I54:I55"/>
    <mergeCell ref="G49:G50"/>
    <mergeCell ref="I49:I50"/>
    <mergeCell ref="K49:K50"/>
    <mergeCell ref="M49:M50"/>
    <mergeCell ref="AA49:AA50"/>
  </mergeCells>
  <printOptions horizontalCentered="1" verticalCentered="1"/>
  <pageMargins left="0" right="0" top="0.15748031496062992" bottom="0" header="0.31496062992125984" footer="0.31496062992125984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Drop Down 1">
              <controlPr defaultSize="0" print="0" autoLine="0" autoPict="0">
                <anchor moveWithCells="1">
                  <from>
                    <xdr:col>2</xdr:col>
                    <xdr:colOff>190500</xdr:colOff>
                    <xdr:row>0</xdr:row>
                    <xdr:rowOff>257175</xdr:rowOff>
                  </from>
                  <to>
                    <xdr:col>4</xdr:col>
                    <xdr:colOff>57150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Drop Down 2">
              <controlPr defaultSize="0" print="0" autoLine="0" autoPict="0">
                <anchor moveWithCells="1">
                  <from>
                    <xdr:col>2</xdr:col>
                    <xdr:colOff>190500</xdr:colOff>
                    <xdr:row>2</xdr:row>
                    <xdr:rowOff>85725</xdr:rowOff>
                  </from>
                  <to>
                    <xdr:col>4</xdr:col>
                    <xdr:colOff>47625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7"/>
  <dimension ref="A1:AB50"/>
  <sheetViews>
    <sheetView showGridLines="0" zoomScale="80" zoomScaleNormal="80" workbookViewId="0">
      <selection activeCell="A3" sqref="A3"/>
    </sheetView>
  </sheetViews>
  <sheetFormatPr baseColWidth="10" defaultRowHeight="20.25" x14ac:dyDescent="0.3"/>
  <cols>
    <col min="1" max="1" width="3.140625" style="80" customWidth="1"/>
    <col min="2" max="2" width="4.85546875" customWidth="1"/>
    <col min="3" max="3" width="17.7109375" customWidth="1"/>
    <col min="4" max="4" width="3.5703125" bestFit="1" customWidth="1"/>
    <col min="5" max="5" width="17.7109375" customWidth="1"/>
    <col min="6" max="6" width="4.85546875" bestFit="1" customWidth="1"/>
    <col min="7" max="7" width="1.5703125" customWidth="1"/>
    <col min="8" max="8" width="4.85546875" style="82" customWidth="1"/>
    <col min="9" max="9" width="15.7109375" customWidth="1"/>
    <col min="10" max="10" width="2.42578125" bestFit="1" customWidth="1"/>
    <col min="11" max="11" width="15.7109375" customWidth="1"/>
    <col min="12" max="12" width="4.85546875" style="82" customWidth="1"/>
    <col min="13" max="13" width="4.5703125" customWidth="1"/>
    <col min="14" max="14" width="14.28515625" bestFit="1" customWidth="1"/>
    <col min="16" max="17" width="11.42578125" customWidth="1"/>
    <col min="19" max="19" width="3.7109375" bestFit="1" customWidth="1"/>
    <col min="20" max="21" width="4.85546875" bestFit="1" customWidth="1"/>
    <col min="22" max="22" width="8.5703125" customWidth="1"/>
    <col min="23" max="24" width="4.85546875" bestFit="1" customWidth="1"/>
    <col min="25" max="25" width="3.7109375" customWidth="1"/>
    <col min="26" max="26" width="7.140625" customWidth="1"/>
    <col min="27" max="27" width="1.7109375" customWidth="1"/>
    <col min="28" max="28" width="7.140625" customWidth="1"/>
    <col min="29" max="29" width="3.5703125" customWidth="1"/>
  </cols>
  <sheetData>
    <row r="1" spans="1:28" ht="23.25" x14ac:dyDescent="0.35">
      <c r="A1" s="80" t="s">
        <v>94</v>
      </c>
      <c r="B1" s="395" t="s">
        <v>21</v>
      </c>
      <c r="C1" s="395"/>
      <c r="D1" s="395"/>
      <c r="E1" s="395"/>
      <c r="F1" s="395"/>
      <c r="G1" s="395"/>
      <c r="H1" s="395"/>
      <c r="I1" s="395"/>
      <c r="J1" s="395"/>
      <c r="K1" s="395"/>
      <c r="L1" s="395"/>
      <c r="M1" s="51"/>
    </row>
    <row r="2" spans="1:28" ht="23.25" x14ac:dyDescent="0.35">
      <c r="A2" s="80">
        <v>6</v>
      </c>
      <c r="B2" s="395" t="s">
        <v>43</v>
      </c>
      <c r="C2" s="395"/>
      <c r="D2" s="395"/>
      <c r="E2" s="395"/>
      <c r="F2" s="395"/>
      <c r="G2" s="395"/>
      <c r="H2" s="395"/>
      <c r="I2" s="395"/>
      <c r="J2" s="395"/>
      <c r="K2" s="395"/>
      <c r="L2" s="395"/>
      <c r="M2" s="51"/>
      <c r="P2" s="102">
        <v>1</v>
      </c>
      <c r="Q2" s="103" t="s">
        <v>60</v>
      </c>
    </row>
    <row r="3" spans="1:28" ht="23.25" x14ac:dyDescent="0.35">
      <c r="B3" s="395" t="str">
        <f>"GYMNASE" &amp;" "&amp;Q15</f>
        <v>GYMNASE Lycée</v>
      </c>
      <c r="C3" s="395"/>
      <c r="D3" s="395"/>
      <c r="E3" s="395"/>
      <c r="F3" s="395"/>
      <c r="G3" s="395"/>
      <c r="H3" s="395"/>
      <c r="I3" s="395"/>
      <c r="J3" s="395"/>
      <c r="K3" s="395"/>
      <c r="L3" s="395"/>
      <c r="M3" s="51"/>
      <c r="P3" s="102"/>
      <c r="Q3" s="103" t="s">
        <v>61</v>
      </c>
    </row>
    <row r="4" spans="1:28" ht="6.75" customHeight="1" x14ac:dyDescent="0.35">
      <c r="B4" s="51"/>
      <c r="C4" s="51"/>
      <c r="D4" s="51"/>
      <c r="E4" s="51"/>
      <c r="F4" s="51"/>
      <c r="G4" s="51"/>
      <c r="H4" s="51"/>
      <c r="I4" s="51"/>
      <c r="J4" s="51"/>
      <c r="K4" s="51"/>
      <c r="L4" s="81"/>
      <c r="M4" s="51"/>
      <c r="P4" s="102"/>
      <c r="Q4" s="102"/>
    </row>
    <row r="5" spans="1:28" ht="23.25" x14ac:dyDescent="0.35">
      <c r="B5" s="89"/>
      <c r="C5" s="51"/>
      <c r="D5" s="51"/>
      <c r="E5" s="51"/>
      <c r="F5" s="51"/>
      <c r="G5" s="51"/>
      <c r="H5" s="410" t="s">
        <v>30</v>
      </c>
      <c r="I5" s="410"/>
      <c r="J5" s="410"/>
      <c r="K5" s="410"/>
      <c r="L5" s="410"/>
      <c r="M5" s="51"/>
      <c r="P5" s="102"/>
      <c r="Q5" s="102"/>
    </row>
    <row r="6" spans="1:28" ht="25.5" x14ac:dyDescent="0.35">
      <c r="B6" s="53"/>
      <c r="I6" s="95" t="s">
        <v>59</v>
      </c>
      <c r="J6" s="87"/>
      <c r="K6" s="95" t="s">
        <v>29</v>
      </c>
      <c r="L6" s="83"/>
      <c r="M6" s="78"/>
      <c r="P6" s="102">
        <v>1</v>
      </c>
      <c r="Q6" s="103" t="s">
        <v>36</v>
      </c>
    </row>
    <row r="7" spans="1:28" s="6" customFormat="1" ht="39.950000000000003" customHeight="1" x14ac:dyDescent="0.2">
      <c r="A7" s="53">
        <v>1</v>
      </c>
      <c r="B7" s="107" t="str">
        <f>IF($A$2=6,T7,W7)</f>
        <v>A1</v>
      </c>
      <c r="C7" s="77" t="str">
        <f ca="1">VLOOKUP(B7,INDIRECT($Q$13),2)</f>
        <v>TG1</v>
      </c>
      <c r="D7" s="52" t="s">
        <v>9</v>
      </c>
      <c r="E7" s="77" t="str">
        <f ca="1">VLOOKUP(F7,INDIRECT($Q$13),2)</f>
        <v>1STMG3</v>
      </c>
      <c r="F7" s="107" t="str">
        <f>IF($A$2=6,U7,X7)</f>
        <v>F1</v>
      </c>
      <c r="G7" s="91"/>
      <c r="H7" s="114" t="str">
        <f>IF($P$6=1,"C"&amp;$P$6+1,IF($P$6=2,"C"&amp;$P$6+1,"C"&amp;$P$6-2))</f>
        <v>C2</v>
      </c>
      <c r="I7" s="112" t="str">
        <f ca="1">IF($P$6=1,VLOOKUP(H7,INDIRECT($Q$19),2),IF($P$6=2,VLOOKUP(H7,INDIRECT($Q$19),2),VLOOKUP(H7,INDIRECT($Q$21),2)))</f>
        <v>1G2</v>
      </c>
      <c r="J7" s="84" t="s">
        <v>56</v>
      </c>
      <c r="K7" s="113" t="str">
        <f ca="1">IF($P$6=1,VLOOKUP(L7,INDIRECT($Q$19),2),IF($P$6=2,VLOOKUP(L7,INDIRECT($Q$19),2),VLOOKUP(L7,INDIRECT($Q$21),2)))</f>
        <v>2n6</v>
      </c>
      <c r="L7" s="116" t="str">
        <f>IF($P$6=1,"D"&amp;$P$6+1,IF($P$6=2,"D"&amp;$P$6+1,"D"&amp;$P$6-2))</f>
        <v>D2</v>
      </c>
      <c r="M7" s="79"/>
      <c r="P7" s="104"/>
      <c r="Q7" s="103" t="s">
        <v>62</v>
      </c>
      <c r="T7" s="107" t="str">
        <f>"A"&amp;$P$6</f>
        <v>A1</v>
      </c>
      <c r="U7" s="107" t="str">
        <f>"F"&amp;$P$6</f>
        <v>F1</v>
      </c>
      <c r="W7" s="144" t="str">
        <f>"A"&amp;$P$6</f>
        <v>A1</v>
      </c>
      <c r="X7" s="145" t="str">
        <f>"B"&amp;$P$6</f>
        <v>B1</v>
      </c>
      <c r="AB7" s="406" t="str">
        <f>IF($P$6=1,"C"&amp;$P$6+2,IF($P$6=2,"C"&amp;$P$6-1,"C"&amp;$P$6-1))</f>
        <v>C3</v>
      </c>
    </row>
    <row r="8" spans="1:28" s="6" customFormat="1" ht="3.95" customHeight="1" x14ac:dyDescent="0.2">
      <c r="A8" s="53"/>
      <c r="B8" s="108"/>
      <c r="C8" s="86"/>
      <c r="D8" s="85"/>
      <c r="E8" s="86"/>
      <c r="F8" s="108"/>
      <c r="G8" s="92"/>
      <c r="H8" s="115"/>
      <c r="I8" s="111"/>
      <c r="J8" s="84"/>
      <c r="K8" s="111"/>
      <c r="L8" s="115"/>
      <c r="M8" s="79"/>
      <c r="P8" s="104"/>
      <c r="Q8" s="103" t="s">
        <v>63</v>
      </c>
      <c r="T8" s="107"/>
      <c r="U8" s="107"/>
      <c r="AB8" s="407"/>
    </row>
    <row r="9" spans="1:28" s="6" customFormat="1" ht="39.950000000000003" customHeight="1" x14ac:dyDescent="0.2">
      <c r="A9" s="53">
        <v>2</v>
      </c>
      <c r="B9" s="107" t="str">
        <f>IF($A$2=6,T9,W9)</f>
        <v>B1</v>
      </c>
      <c r="C9" s="77" t="str">
        <f t="shared" ref="C9:C35" ca="1" si="0">VLOOKUP(B9,INDIRECT($Q$13),2)</f>
        <v>2n11</v>
      </c>
      <c r="D9" s="52" t="s">
        <v>9</v>
      </c>
      <c r="E9" s="77" t="str">
        <f t="shared" ref="E9:E35" ca="1" si="1">VLOOKUP(F9,INDIRECT($Q$13),2)</f>
        <v>TAGORA</v>
      </c>
      <c r="F9" s="107" t="str">
        <f>IF($A$2=6,U9,X9)</f>
        <v>E1</v>
      </c>
      <c r="G9" s="91"/>
      <c r="H9" s="114" t="str">
        <f>IF($P$6=1,"A"&amp;$P$6+1,IF($P$6=2,"A"&amp;$P$6+1,"A"&amp;$P$6-2))</f>
        <v>A2</v>
      </c>
      <c r="I9" s="112" t="str">
        <f ca="1">IF($P$6=1,VLOOKUP(H9,INDIRECT($Q$19),2),IF($P$6=2,VLOOKUP(H9,INDIRECT($Q$19),2),VLOOKUP(H9,INDIRECT($Q$21),2)))</f>
        <v>TG3</v>
      </c>
      <c r="J9" s="84" t="s">
        <v>56</v>
      </c>
      <c r="K9" s="113" t="str">
        <f ca="1">IF($P$6=1,VLOOKUP(L9,INDIRECT($Q$19),2),IF($P$6=2,VLOOKUP(L9,INDIRECT($Q$19),2),VLOOKUP(L9,INDIRECT($Q$21),2)))</f>
        <v>TSTMG1</v>
      </c>
      <c r="L9" s="116" t="str">
        <f>IF($P$6=1,"E"&amp;$P$6+1,IF($P$6=2,"E"&amp;$P$6+1,"E"&amp;$P$6-2))</f>
        <v>E2</v>
      </c>
      <c r="M9" s="79"/>
      <c r="P9" s="104"/>
      <c r="Q9" s="103"/>
      <c r="T9" s="107" t="str">
        <f>"B"&amp;$P$6</f>
        <v>B1</v>
      </c>
      <c r="U9" s="107" t="str">
        <f>"E"&amp;$P$6</f>
        <v>E1</v>
      </c>
      <c r="W9" s="146" t="str">
        <f>"C"&amp;$P$6</f>
        <v>C1</v>
      </c>
      <c r="X9" s="147" t="str">
        <f>"D"&amp;$P$6</f>
        <v>D1</v>
      </c>
      <c r="AB9" s="128"/>
    </row>
    <row r="10" spans="1:28" s="6" customFormat="1" ht="3.95" customHeight="1" x14ac:dyDescent="0.2">
      <c r="A10" s="53"/>
      <c r="B10" s="108"/>
      <c r="C10" s="86"/>
      <c r="D10" s="85"/>
      <c r="E10" s="86"/>
      <c r="F10" s="108"/>
      <c r="G10" s="92"/>
      <c r="H10" s="115"/>
      <c r="I10" s="111"/>
      <c r="J10" s="84"/>
      <c r="K10" s="111"/>
      <c r="L10" s="115"/>
      <c r="M10" s="79"/>
      <c r="P10" s="104"/>
      <c r="Q10" s="104"/>
      <c r="T10" s="108"/>
      <c r="U10" s="108"/>
      <c r="AB10" s="406" t="str">
        <f>IF($R$6=1,"A"&amp;$R$6+2,IF($R$6=2,"A"&amp;$R$6-1,"A"&amp;$R$6-1))</f>
        <v>A-1</v>
      </c>
    </row>
    <row r="11" spans="1:28" s="6" customFormat="1" ht="39.950000000000003" customHeight="1" x14ac:dyDescent="0.2">
      <c r="A11" s="53">
        <v>3</v>
      </c>
      <c r="B11" s="107" t="str">
        <f>IF($A$2=6,T11,W11)</f>
        <v>C1</v>
      </c>
      <c r="C11" s="77" t="str">
        <f t="shared" ca="1" si="0"/>
        <v>1G1</v>
      </c>
      <c r="D11" s="52" t="s">
        <v>9</v>
      </c>
      <c r="E11" s="77" t="str">
        <f t="shared" ca="1" si="1"/>
        <v>2n1</v>
      </c>
      <c r="F11" s="107" t="str">
        <f>IF($A$2=6,U11,X11)</f>
        <v>D1</v>
      </c>
      <c r="G11" s="91"/>
      <c r="H11" s="114" t="str">
        <f>IF($P$6=1,"B"&amp;$P$6+1,IF($P$6=2,"B"&amp;$P$6+1,"B"&amp;$P$6-2))</f>
        <v>B2</v>
      </c>
      <c r="I11" s="112" t="str">
        <f ca="1">IF($P$6=1,VLOOKUP(H11,INDIRECT($Q$19),2),IF($P$6=2,VLOOKUP(H11,INDIRECT($Q$19),2),VLOOKUP(H11,INDIRECT($Q$21),2)))</f>
        <v>2n10</v>
      </c>
      <c r="J11" s="84" t="s">
        <v>56</v>
      </c>
      <c r="K11" s="113" t="str">
        <f ca="1">IF($P$6=1,VLOOKUP(L11,INDIRECT($Q$19),2),IF($P$6=2,VLOOKUP(L11,INDIRECT($Q$19),2),VLOOKUP(L11,INDIRECT($Q$21),2)))</f>
        <v>2n6</v>
      </c>
      <c r="L11" s="116" t="str">
        <f>IF($P$6=1,"D"&amp;$P$6+1,IF($P$6=2,"D"&amp;$P$6+1,"D"&amp;$P$6-2))</f>
        <v>D2</v>
      </c>
      <c r="M11" s="79"/>
      <c r="P11" s="104"/>
      <c r="Q11" s="104" t="str">
        <f>IF(P2=1,"Lyc","Tou")</f>
        <v>Lyc</v>
      </c>
      <c r="T11" s="107" t="str">
        <f>"C"&amp;$P$6</f>
        <v>C1</v>
      </c>
      <c r="U11" s="107" t="str">
        <f>"D"&amp;$P$6</f>
        <v>D1</v>
      </c>
      <c r="W11" s="144" t="str">
        <f>"A"&amp;$P$6</f>
        <v>A1</v>
      </c>
      <c r="X11" s="148" t="str">
        <f>"E"&amp;$P$6</f>
        <v>E1</v>
      </c>
      <c r="AB11" s="407"/>
    </row>
    <row r="12" spans="1:28" s="6" customFormat="1" ht="3.95" customHeight="1" x14ac:dyDescent="0.2">
      <c r="A12" s="53"/>
      <c r="B12" s="108"/>
      <c r="C12" s="86"/>
      <c r="D12" s="85"/>
      <c r="E12" s="86"/>
      <c r="F12" s="108"/>
      <c r="G12" s="92"/>
      <c r="H12" s="115"/>
      <c r="I12" s="111"/>
      <c r="J12" s="84"/>
      <c r="K12" s="111"/>
      <c r="L12" s="115"/>
      <c r="M12" s="79"/>
      <c r="P12" s="104"/>
      <c r="Q12" s="104"/>
      <c r="T12" s="108"/>
      <c r="U12" s="108"/>
      <c r="AB12" s="128"/>
    </row>
    <row r="13" spans="1:28" s="6" customFormat="1" ht="39.950000000000003" customHeight="1" x14ac:dyDescent="0.2">
      <c r="A13" s="53">
        <v>4</v>
      </c>
      <c r="B13" s="107" t="str">
        <f>IF($A$2=6,T13,W13)</f>
        <v>B1</v>
      </c>
      <c r="C13" s="77" t="str">
        <f t="shared" ca="1" si="0"/>
        <v>2n11</v>
      </c>
      <c r="D13" s="52" t="s">
        <v>9</v>
      </c>
      <c r="E13" s="77" t="str">
        <f t="shared" ca="1" si="1"/>
        <v>1STMG3</v>
      </c>
      <c r="F13" s="107" t="str">
        <f>IF($A$2=6,U13,X13)</f>
        <v>F1</v>
      </c>
      <c r="G13" s="91"/>
      <c r="H13" s="114" t="str">
        <f>IF($P$6=1,"A"&amp;$P$6+1,IF($P$6=2,"A"&amp;$P$6+1,"A"&amp;$P$6-2))</f>
        <v>A2</v>
      </c>
      <c r="I13" s="112" t="str">
        <f ca="1">IF($P$6=1,VLOOKUP(H13,INDIRECT($Q$19),2),IF($P$6=2,VLOOKUP(H13,INDIRECT($Q$19),2),VLOOKUP(H13,INDIRECT($Q$21),2)))</f>
        <v>TG3</v>
      </c>
      <c r="J13" s="84" t="s">
        <v>56</v>
      </c>
      <c r="K13" s="113" t="str">
        <f ca="1">IF($P$6=1,VLOOKUP(L13,INDIRECT($Q$19),2),IF($P$6=2,VLOOKUP(L13,INDIRECT($Q$19),2),VLOOKUP(L13,INDIRECT($Q$21),2)))</f>
        <v>TSTMG1</v>
      </c>
      <c r="L13" s="116" t="str">
        <f>IF($P$6=1,"E"&amp;$P$6+1,IF($P$6=2,"E"&amp;$P$6+1,"E"&amp;$P$6-2))</f>
        <v>E2</v>
      </c>
      <c r="M13" s="79"/>
      <c r="P13" s="104"/>
      <c r="Q13" s="104" t="str">
        <f>Q11&amp;"T"&amp;P6</f>
        <v>LycT1</v>
      </c>
      <c r="T13" s="107" t="str">
        <f>"B"&amp;$P$6</f>
        <v>B1</v>
      </c>
      <c r="U13" s="107" t="str">
        <f>"F"&amp;$P$6</f>
        <v>F1</v>
      </c>
      <c r="W13" s="145" t="str">
        <f>"B"&amp;$P$6</f>
        <v>B1</v>
      </c>
      <c r="X13" s="146" t="str">
        <f>"C"&amp;$P$6</f>
        <v>C1</v>
      </c>
      <c r="AB13" s="406" t="str">
        <f>IF($R$6=1,"B"&amp;$R$6+2,IF($R$6=2,"B"&amp;$R$6-1,"B"&amp;$R$6-1))</f>
        <v>B-1</v>
      </c>
    </row>
    <row r="14" spans="1:28" s="6" customFormat="1" ht="3.95" customHeight="1" x14ac:dyDescent="0.2">
      <c r="A14" s="53"/>
      <c r="B14" s="108"/>
      <c r="C14" s="86"/>
      <c r="D14" s="85"/>
      <c r="E14" s="86"/>
      <c r="F14" s="108"/>
      <c r="G14" s="92"/>
      <c r="H14" s="115"/>
      <c r="I14" s="111"/>
      <c r="J14" s="84"/>
      <c r="K14" s="111"/>
      <c r="L14" s="115"/>
      <c r="M14" s="79"/>
      <c r="P14" s="104"/>
      <c r="Q14" s="104"/>
      <c r="T14" s="108"/>
      <c r="U14" s="108"/>
      <c r="AB14" s="407"/>
    </row>
    <row r="15" spans="1:28" s="6" customFormat="1" ht="39.950000000000003" customHeight="1" x14ac:dyDescent="0.2">
      <c r="A15" s="53">
        <v>5</v>
      </c>
      <c r="B15" s="107" t="str">
        <f>IF($A$2=6,T15,W15)</f>
        <v>A1</v>
      </c>
      <c r="C15" s="77" t="str">
        <f t="shared" ca="1" si="0"/>
        <v>TG1</v>
      </c>
      <c r="D15" s="52" t="s">
        <v>9</v>
      </c>
      <c r="E15" s="77" t="str">
        <f t="shared" ca="1" si="1"/>
        <v>1G1</v>
      </c>
      <c r="F15" s="107" t="str">
        <f>IF($A$2=6,U15,X15)</f>
        <v>C1</v>
      </c>
      <c r="G15" s="91"/>
      <c r="H15" s="114" t="str">
        <f>IF($P$6=1,"B"&amp;$P$6+1,IF($P$6=2,"B"&amp;$P$6+1,"B"&amp;$P$6-2))</f>
        <v>B2</v>
      </c>
      <c r="I15" s="112" t="str">
        <f ca="1">IF($P$6=1,VLOOKUP(H15,INDIRECT($Q$19),2),IF($P$6=2,VLOOKUP(H15,INDIRECT($Q$19),2),VLOOKUP(H15,INDIRECT($Q$21),2)))</f>
        <v>2n10</v>
      </c>
      <c r="J15" s="84" t="s">
        <v>56</v>
      </c>
      <c r="K15" s="113" t="str">
        <f ca="1">IF($P$6=1,VLOOKUP(L15,INDIRECT($Q$19),2),IF($P$6=2,VLOOKUP(L15,INDIRECT($Q$19),2),VLOOKUP(L15,INDIRECT($Q$21),2)))</f>
        <v>1G2</v>
      </c>
      <c r="L15" s="116" t="str">
        <f>IF($P$6=1,"C"&amp;$P$6+1,IF($P$6=2,"C"&amp;$P$6+1,"C"&amp;$P$6-2))</f>
        <v>C2</v>
      </c>
      <c r="M15" s="79"/>
      <c r="P15" s="104"/>
      <c r="Q15" s="104" t="str">
        <f>IF(P2=1,"Lycée","Tourrier")</f>
        <v>Lycée</v>
      </c>
      <c r="T15" s="107" t="str">
        <f>"A"&amp;$P$6</f>
        <v>A1</v>
      </c>
      <c r="U15" s="107" t="str">
        <f>"C"&amp;$P$6</f>
        <v>C1</v>
      </c>
      <c r="W15" s="147" t="str">
        <f>"D"&amp;$P$6</f>
        <v>D1</v>
      </c>
      <c r="X15" s="148" t="str">
        <f>"E"&amp;$P$6</f>
        <v>E1</v>
      </c>
      <c r="AB15" s="128"/>
    </row>
    <row r="16" spans="1:28" s="6" customFormat="1" ht="3.95" customHeight="1" x14ac:dyDescent="0.2">
      <c r="A16" s="53"/>
      <c r="B16" s="108"/>
      <c r="C16" s="86"/>
      <c r="D16" s="85"/>
      <c r="E16" s="86"/>
      <c r="F16" s="108"/>
      <c r="G16" s="92"/>
      <c r="H16" s="115"/>
      <c r="I16" s="111"/>
      <c r="J16" s="84"/>
      <c r="K16" s="111"/>
      <c r="L16" s="115"/>
      <c r="M16" s="79"/>
      <c r="P16" s="104"/>
      <c r="Q16" s="104"/>
      <c r="T16" s="108"/>
      <c r="U16" s="108"/>
      <c r="AB16" s="406" t="str">
        <f>IF($R$6=1,"D"&amp;$R$6+2,IF($R$6=2,"D"&amp;$R$6-1,"D"&amp;$R$6-1))</f>
        <v>D-1</v>
      </c>
    </row>
    <row r="17" spans="1:28" s="6" customFormat="1" ht="39.950000000000003" customHeight="1" x14ac:dyDescent="0.2">
      <c r="A17" s="53">
        <v>6</v>
      </c>
      <c r="B17" s="107" t="str">
        <f>IF($A$2=6,T17,W17)</f>
        <v>D1</v>
      </c>
      <c r="C17" s="77" t="str">
        <f t="shared" ca="1" si="0"/>
        <v>2n1</v>
      </c>
      <c r="D17" s="52" t="s">
        <v>9</v>
      </c>
      <c r="E17" s="77" t="str">
        <f t="shared" ca="1" si="1"/>
        <v>TAGORA</v>
      </c>
      <c r="F17" s="107" t="str">
        <f>IF($A$2=6,U17,X17)</f>
        <v>E1</v>
      </c>
      <c r="G17" s="91"/>
      <c r="H17" s="114" t="str">
        <f>IF($P$6=1,"E"&amp;$P$6+1,IF($P$6=2,"E"&amp;$P$6+1,"E"&amp;$P$6-2))</f>
        <v>E2</v>
      </c>
      <c r="I17" s="112" t="str">
        <f ca="1">IF($P$6=1,VLOOKUP(H17,INDIRECT($Q$19),2),IF($P$6=2,VLOOKUP(H17,INDIRECT($Q$19),2),VLOOKUP(H17,INDIRECT($Q$21),2)))</f>
        <v>TSTMG1</v>
      </c>
      <c r="J17" s="84" t="s">
        <v>56</v>
      </c>
      <c r="K17" s="113" t="str">
        <f ca="1">IF($P$6=1,VLOOKUP(L17,INDIRECT($Q$19),2),IF($P$6=2,VLOOKUP(L17,INDIRECT($Q$19),2),VLOOKUP(L17,INDIRECT($Q$21),2)))</f>
        <v>2n6</v>
      </c>
      <c r="L17" s="116" t="str">
        <f>IF($P$6=1,"D"&amp;$P$6+1,IF($P$6=2,"D"&amp;$P$6+1,"D"&amp;$P$6-2))</f>
        <v>D2</v>
      </c>
      <c r="M17" s="79"/>
      <c r="P17" s="104"/>
      <c r="Q17" s="104" t="s">
        <v>66</v>
      </c>
      <c r="T17" s="107" t="str">
        <f>"D"&amp;$P$6</f>
        <v>D1</v>
      </c>
      <c r="U17" s="107" t="str">
        <f>"E"&amp;$P$6</f>
        <v>E1</v>
      </c>
      <c r="W17" s="144" t="str">
        <f>"A"&amp;$P$6</f>
        <v>A1</v>
      </c>
      <c r="X17" s="146" t="str">
        <f>"C"&amp;$P$6</f>
        <v>C1</v>
      </c>
      <c r="AB17" s="407"/>
    </row>
    <row r="18" spans="1:28" s="6" customFormat="1" ht="3.95" customHeight="1" x14ac:dyDescent="0.2">
      <c r="A18" s="53"/>
      <c r="B18" s="108"/>
      <c r="C18" s="86"/>
      <c r="D18" s="85"/>
      <c r="E18" s="86"/>
      <c r="F18" s="108"/>
      <c r="G18" s="92"/>
      <c r="H18" s="115"/>
      <c r="I18" s="111"/>
      <c r="J18" s="84"/>
      <c r="K18" s="111"/>
      <c r="L18" s="115"/>
      <c r="M18" s="79"/>
      <c r="P18" s="104"/>
      <c r="Q18" s="104"/>
      <c r="T18" s="108"/>
      <c r="U18" s="108"/>
      <c r="AB18" s="128"/>
    </row>
    <row r="19" spans="1:28" s="6" customFormat="1" ht="39.950000000000003" customHeight="1" x14ac:dyDescent="0.2">
      <c r="A19" s="53">
        <v>7</v>
      </c>
      <c r="B19" s="107" t="str">
        <f>IF($A$2=6,T19,W19)</f>
        <v>C1</v>
      </c>
      <c r="C19" s="77" t="str">
        <f t="shared" ca="1" si="0"/>
        <v>1G1</v>
      </c>
      <c r="D19" s="52" t="s">
        <v>9</v>
      </c>
      <c r="E19" s="77" t="str">
        <f t="shared" ca="1" si="1"/>
        <v>1STMG3</v>
      </c>
      <c r="F19" s="107" t="str">
        <f>IF($A$2=6,U19,X19)</f>
        <v>F1</v>
      </c>
      <c r="G19" s="91"/>
      <c r="H19" s="114" t="str">
        <f>IF($P$6=1,"A"&amp;$P$6+1,IF($P$6=2,"A"&amp;$P$6+1,"A"&amp;$P$6-2))</f>
        <v>A2</v>
      </c>
      <c r="I19" s="112" t="str">
        <f ca="1">IF($P$6=1,VLOOKUP(H19,INDIRECT($Q$19),2),IF($P$6=2,VLOOKUP(H19,INDIRECT($Q$19),2),VLOOKUP(H19,INDIRECT($Q$21),2)))</f>
        <v>TG3</v>
      </c>
      <c r="J19" s="84" t="s">
        <v>56</v>
      </c>
      <c r="K19" s="113" t="str">
        <f ca="1">IF($P$6=1,VLOOKUP(L19,INDIRECT($Q$19),2),IF($P$6=2,VLOOKUP(L19,INDIRECT($Q$19),2),VLOOKUP(L19,INDIRECT($Q$21),2)))</f>
        <v>1G2</v>
      </c>
      <c r="L19" s="116" t="str">
        <f>IF($P$6=1,"C"&amp;$P$6+1,IF($P$6=2,"C"&amp;$P$6+1,"C"&amp;$P$6-2))</f>
        <v>C2</v>
      </c>
      <c r="M19" s="79"/>
      <c r="P19" s="104"/>
      <c r="Q19" s="104" t="str">
        <f>Q11&amp;"T"&amp;P6+1</f>
        <v>LycT2</v>
      </c>
      <c r="T19" s="107" t="str">
        <f>"C"&amp;$P$6</f>
        <v>C1</v>
      </c>
      <c r="U19" s="107" t="str">
        <f>"F"&amp;$P$6</f>
        <v>F1</v>
      </c>
      <c r="W19" s="145" t="str">
        <f>"B"&amp;$P$6</f>
        <v>B1</v>
      </c>
      <c r="X19" s="147" t="str">
        <f>"D"&amp;$P$6</f>
        <v>D1</v>
      </c>
      <c r="AB19" s="406" t="str">
        <f>IF($R$6=1,"B"&amp;$R$6+2,IF($R$6=2,"B"&amp;$R$6-1,"B"&amp;$R$6-1))</f>
        <v>B-1</v>
      </c>
    </row>
    <row r="20" spans="1:28" s="6" customFormat="1" ht="3.95" customHeight="1" x14ac:dyDescent="0.2">
      <c r="A20" s="53"/>
      <c r="B20" s="108"/>
      <c r="C20" s="86"/>
      <c r="D20" s="85"/>
      <c r="E20" s="86"/>
      <c r="F20" s="108"/>
      <c r="G20" s="92"/>
      <c r="H20" s="115"/>
      <c r="I20" s="111"/>
      <c r="J20" s="84"/>
      <c r="K20" s="111"/>
      <c r="L20" s="115"/>
      <c r="M20" s="79"/>
      <c r="P20" s="104"/>
      <c r="Q20" s="104"/>
      <c r="T20" s="108"/>
      <c r="U20" s="108"/>
      <c r="AB20" s="407"/>
    </row>
    <row r="21" spans="1:28" s="6" customFormat="1" ht="39.950000000000003" customHeight="1" x14ac:dyDescent="0.2">
      <c r="A21" s="53">
        <v>8</v>
      </c>
      <c r="B21" s="107" t="str">
        <f>IF($A$2=6,T21,W21)</f>
        <v>B1</v>
      </c>
      <c r="C21" s="77" t="str">
        <f t="shared" ca="1" si="0"/>
        <v>2n11</v>
      </c>
      <c r="D21" s="52" t="s">
        <v>9</v>
      </c>
      <c r="E21" s="77" t="str">
        <f t="shared" ca="1" si="1"/>
        <v>2n1</v>
      </c>
      <c r="F21" s="107" t="str">
        <f>IF($A$2=6,U21,X21)</f>
        <v>D1</v>
      </c>
      <c r="G21" s="91"/>
      <c r="H21" s="114" t="str">
        <f>IF($P$6=1,"A"&amp;$P$6+1,IF($P$6=2,"A"&amp;$P$6+1,"A"&amp;$P$6-2))</f>
        <v>A2</v>
      </c>
      <c r="I21" s="112" t="str">
        <f ca="1">IF($P$6=1,VLOOKUP(H21,INDIRECT($Q$19),2),IF($P$6=2,VLOOKUP(H21,INDIRECT($Q$19),2),VLOOKUP(H21,INDIRECT($Q$21),2)))</f>
        <v>TG3</v>
      </c>
      <c r="J21" s="84" t="s">
        <v>56</v>
      </c>
      <c r="K21" s="113" t="str">
        <f ca="1">IF($P$6=1,VLOOKUP(L21,INDIRECT($Q$19),2),IF($P$6=2,VLOOKUP(L21,INDIRECT($Q$19),2),VLOOKUP(L21,INDIRECT($Q$21),2)))</f>
        <v>2n6</v>
      </c>
      <c r="L21" s="116" t="str">
        <f>IF($P$6=1,"D"&amp;$P$6+1,IF($P$6=2,"D"&amp;$P$6+1,"D"&amp;$P$6-2))</f>
        <v>D2</v>
      </c>
      <c r="M21" s="79"/>
      <c r="P21" s="104"/>
      <c r="Q21" s="104" t="str">
        <f>Q11&amp;"T"&amp;P6-2</f>
        <v>LycT-1</v>
      </c>
      <c r="T21" s="107" t="str">
        <f>"B"&amp;$P$6</f>
        <v>B1</v>
      </c>
      <c r="U21" s="107" t="str">
        <f>"D"&amp;$P$6</f>
        <v>D1</v>
      </c>
      <c r="W21" s="146" t="str">
        <f>"C"&amp;$P$6</f>
        <v>C1</v>
      </c>
      <c r="X21" s="148" t="str">
        <f>"E"&amp;$P$6</f>
        <v>E1</v>
      </c>
      <c r="AB21" s="128"/>
    </row>
    <row r="22" spans="1:28" s="6" customFormat="1" ht="3.95" customHeight="1" x14ac:dyDescent="0.2">
      <c r="A22" s="53"/>
      <c r="B22" s="108"/>
      <c r="C22" s="86"/>
      <c r="D22" s="85"/>
      <c r="E22" s="86"/>
      <c r="F22" s="108"/>
      <c r="G22" s="92"/>
      <c r="H22" s="115"/>
      <c r="I22" s="111"/>
      <c r="J22" s="84"/>
      <c r="K22" s="111"/>
      <c r="L22" s="115"/>
      <c r="M22" s="79"/>
      <c r="T22" s="108"/>
      <c r="U22" s="108"/>
      <c r="AB22" s="406" t="str">
        <f>IF($R$6=1,"A"&amp;$R$6+2,IF($R$6=2,"A"&amp;$R$6-1,"A"&amp;$R$6-1))</f>
        <v>A-1</v>
      </c>
    </row>
    <row r="23" spans="1:28" s="6" customFormat="1" ht="39.950000000000003" customHeight="1" x14ac:dyDescent="0.2">
      <c r="A23" s="53">
        <v>9</v>
      </c>
      <c r="B23" s="107" t="str">
        <f>IF($A$2=6,T23,W23)</f>
        <v>A1</v>
      </c>
      <c r="C23" s="77" t="str">
        <f t="shared" ca="1" si="0"/>
        <v>TG1</v>
      </c>
      <c r="D23" s="52" t="s">
        <v>9</v>
      </c>
      <c r="E23" s="77" t="str">
        <f t="shared" ca="1" si="1"/>
        <v>TAGORA</v>
      </c>
      <c r="F23" s="107" t="str">
        <f>IF($A$2=6,U23,X23)</f>
        <v>E1</v>
      </c>
      <c r="G23" s="91"/>
      <c r="H23" s="114" t="str">
        <f>IF($P$6=1,"B"&amp;$P$6+1,IF($P$6=2,"B"&amp;$P$6+1,"B"&amp;$P$6-2))</f>
        <v>B2</v>
      </c>
      <c r="I23" s="112" t="str">
        <f ca="1">IF($P$6=1,VLOOKUP(H23,INDIRECT($Q$19),2),IF($P$6=2,VLOOKUP(H23,INDIRECT($Q$19),2),VLOOKUP(H23,INDIRECT($Q$21),2)))</f>
        <v>2n10</v>
      </c>
      <c r="J23" s="84" t="s">
        <v>56</v>
      </c>
      <c r="K23" s="113" t="str">
        <f ca="1">IF($P$6=1,VLOOKUP(L23,INDIRECT($Q$19),2),IF($P$6=2,VLOOKUP(L23,INDIRECT($Q$19),2),VLOOKUP(L23,INDIRECT($Q$21),2)))</f>
        <v>TSTMG1</v>
      </c>
      <c r="L23" s="116" t="str">
        <f>IF($P$6=1,"E"&amp;$P$6+1,IF($P$6=2,"E"&amp;$P$6+1,"E"&amp;$P$6-2))</f>
        <v>E2</v>
      </c>
      <c r="M23" s="79"/>
      <c r="T23" s="107" t="str">
        <f>"A"&amp;$P$6</f>
        <v>A1</v>
      </c>
      <c r="U23" s="107" t="str">
        <f>"E"&amp;$P$6</f>
        <v>E1</v>
      </c>
      <c r="W23" s="144" t="str">
        <f>"A"&amp;$P$6</f>
        <v>A1</v>
      </c>
      <c r="X23" s="147" t="str">
        <f>"D"&amp;$P$6</f>
        <v>D1</v>
      </c>
      <c r="AB23" s="407"/>
    </row>
    <row r="24" spans="1:28" s="6" customFormat="1" ht="3.95" customHeight="1" x14ac:dyDescent="0.2">
      <c r="A24" s="53"/>
      <c r="B24" s="108"/>
      <c r="C24" s="86"/>
      <c r="D24" s="85"/>
      <c r="E24" s="86"/>
      <c r="F24" s="108"/>
      <c r="G24" s="92"/>
      <c r="H24" s="115"/>
      <c r="I24" s="111"/>
      <c r="J24" s="84"/>
      <c r="K24" s="111"/>
      <c r="L24" s="115"/>
      <c r="M24" s="79"/>
      <c r="T24" s="108"/>
      <c r="U24" s="108"/>
      <c r="AB24" s="128"/>
    </row>
    <row r="25" spans="1:28" s="6" customFormat="1" ht="39.950000000000003" customHeight="1" x14ac:dyDescent="0.2">
      <c r="A25" s="53">
        <v>10</v>
      </c>
      <c r="B25" s="107" t="str">
        <f>IF($A$2=6,T25,W25)</f>
        <v>D1</v>
      </c>
      <c r="C25" s="77" t="str">
        <f t="shared" ca="1" si="0"/>
        <v>2n1</v>
      </c>
      <c r="D25" s="52" t="s">
        <v>9</v>
      </c>
      <c r="E25" s="77" t="str">
        <f t="shared" ca="1" si="1"/>
        <v>1STMG3</v>
      </c>
      <c r="F25" s="107" t="str">
        <f>IF($A$2=6,U25,X25)</f>
        <v>F1</v>
      </c>
      <c r="G25" s="91"/>
      <c r="H25" s="114" t="str">
        <f>IF($P$6=1,"C"&amp;$P$6+1,IF($P$6=2,"C"&amp;$P$6+1,"C"&amp;$P$6-2))</f>
        <v>C2</v>
      </c>
      <c r="I25" s="112" t="str">
        <f ca="1">IF($P$6=1,VLOOKUP(H25,INDIRECT($Q$19),2),IF($P$6=2,VLOOKUP(H25,INDIRECT($Q$19),2),VLOOKUP(H25,INDIRECT($Q$21),2)))</f>
        <v>1G2</v>
      </c>
      <c r="J25" s="84" t="s">
        <v>56</v>
      </c>
      <c r="K25" s="113" t="str">
        <f ca="1">IF($P$6=1,VLOOKUP(L25,INDIRECT($Q$19),2),IF($P$6=2,VLOOKUP(L25,INDIRECT($Q$19),2),VLOOKUP(L25,INDIRECT($Q$21),2)))</f>
        <v>2n10</v>
      </c>
      <c r="L25" s="116" t="str">
        <f>IF($P$6=1,"B"&amp;$P$6+1,IF($P$6=2,"B"&amp;$P$6+1,"B"&amp;$P$6-2))</f>
        <v>B2</v>
      </c>
      <c r="M25" s="79"/>
      <c r="T25" s="107" t="str">
        <f>"D"&amp;$P$6</f>
        <v>D1</v>
      </c>
      <c r="U25" s="107" t="str">
        <f>"F"&amp;$P$6</f>
        <v>F1</v>
      </c>
      <c r="W25" s="145" t="str">
        <f>"B"&amp;$P$6</f>
        <v>B1</v>
      </c>
      <c r="X25" s="148" t="str">
        <f>"E"&amp;$P$6</f>
        <v>E1</v>
      </c>
      <c r="AB25" s="406" t="str">
        <f>IF($R$6=1,"A"&amp;$R$6+2,IF($R$6=2,"A"&amp;$R$6-1,"A"&amp;$R$6-1))</f>
        <v>A-1</v>
      </c>
    </row>
    <row r="26" spans="1:28" s="6" customFormat="1" ht="3.95" customHeight="1" x14ac:dyDescent="0.2">
      <c r="A26" s="53"/>
      <c r="B26" s="108"/>
      <c r="C26" s="86"/>
      <c r="D26" s="85"/>
      <c r="E26" s="86"/>
      <c r="F26" s="108"/>
      <c r="G26" s="92"/>
      <c r="H26" s="115"/>
      <c r="I26" s="111"/>
      <c r="J26" s="84"/>
      <c r="K26" s="111"/>
      <c r="L26" s="115"/>
      <c r="M26" s="79"/>
      <c r="T26" s="108"/>
      <c r="U26" s="108"/>
      <c r="AB26" s="407"/>
    </row>
    <row r="27" spans="1:28" s="6" customFormat="1" ht="39.950000000000003" customHeight="1" x14ac:dyDescent="0.2">
      <c r="A27" s="53">
        <v>11</v>
      </c>
      <c r="B27" s="107" t="str">
        <f>IF($A$2=6,T27,W27)</f>
        <v>C1</v>
      </c>
      <c r="C27" s="77" t="str">
        <f t="shared" ca="1" si="0"/>
        <v>1G1</v>
      </c>
      <c r="D27" s="52" t="s">
        <v>9</v>
      </c>
      <c r="E27" s="77" t="str">
        <f t="shared" ca="1" si="1"/>
        <v>TAGORA</v>
      </c>
      <c r="F27" s="107" t="str">
        <f>IF($A$2=6,U27,X27)</f>
        <v>E1</v>
      </c>
      <c r="G27" s="91"/>
      <c r="H27" s="114"/>
      <c r="I27" s="112" t="e">
        <f ca="1">IF($P$6=1,VLOOKUP(H27,INDIRECT($Q$19),2),IF($P$6=2,VLOOKUP(H27,INDIRECT($Q$19),2),VLOOKUP(H27,INDIRECT($Q$21),2)))</f>
        <v>#N/A</v>
      </c>
      <c r="J27" s="84" t="s">
        <v>56</v>
      </c>
      <c r="K27" s="113" t="e">
        <f ca="1">IF($P$6=1,VLOOKUP(L27,INDIRECT($Q$19),2),IF($P$6=2,VLOOKUP(L27,INDIRECT($Q$19),2),VLOOKUP(L27,INDIRECT($Q$21),2)))</f>
        <v>#N/A</v>
      </c>
      <c r="L27" s="116"/>
      <c r="M27" s="79"/>
      <c r="T27" s="107" t="str">
        <f>"C"&amp;$P$6</f>
        <v>C1</v>
      </c>
      <c r="U27" s="107" t="str">
        <f>"E"&amp;$P$6</f>
        <v>E1</v>
      </c>
      <c r="AB27" s="128"/>
    </row>
    <row r="28" spans="1:28" s="6" customFormat="1" ht="3.95" customHeight="1" x14ac:dyDescent="0.2">
      <c r="A28" s="53"/>
      <c r="B28" s="108"/>
      <c r="C28" s="86"/>
      <c r="D28" s="85"/>
      <c r="E28" s="86"/>
      <c r="F28" s="108"/>
      <c r="G28" s="92"/>
      <c r="H28" s="115"/>
      <c r="I28" s="111"/>
      <c r="J28" s="84"/>
      <c r="K28" s="111"/>
      <c r="L28" s="115"/>
      <c r="M28" s="79"/>
      <c r="T28" s="108"/>
      <c r="U28" s="108"/>
      <c r="AB28" s="406" t="str">
        <f>IF($R$6=1,"C"&amp;$R$6+2,IF($R$6=2,"C"&amp;$R$6-1,"C"&amp;$R$6-1))</f>
        <v>C-1</v>
      </c>
    </row>
    <row r="29" spans="1:28" s="6" customFormat="1" ht="39.950000000000003" customHeight="1" x14ac:dyDescent="0.2">
      <c r="A29" s="53">
        <v>12</v>
      </c>
      <c r="B29" s="107" t="str">
        <f>IF($A$2=6,T29,W29)</f>
        <v>A1</v>
      </c>
      <c r="C29" s="77" t="str">
        <f t="shared" ca="1" si="0"/>
        <v>TG1</v>
      </c>
      <c r="D29" s="52" t="s">
        <v>9</v>
      </c>
      <c r="E29" s="77" t="str">
        <f t="shared" ca="1" si="1"/>
        <v>2n11</v>
      </c>
      <c r="F29" s="107" t="str">
        <f>IF($A$2=6,U29,X29)</f>
        <v>B1</v>
      </c>
      <c r="G29" s="91"/>
      <c r="H29" s="114"/>
      <c r="I29" s="112" t="e">
        <f ca="1">IF($P$6=1,VLOOKUP(H29,INDIRECT($Q$19),2),IF($P$6=2,VLOOKUP(H29,INDIRECT($Q$19),2),VLOOKUP(H29,INDIRECT($Q$21),2)))</f>
        <v>#N/A</v>
      </c>
      <c r="J29" s="84" t="s">
        <v>56</v>
      </c>
      <c r="K29" s="113" t="e">
        <f ca="1">IF($P$6=1,VLOOKUP(L29,INDIRECT($Q$19),2),IF($P$6=2,VLOOKUP(L29,INDIRECT($Q$19),2),VLOOKUP(L29,INDIRECT($Q$21),2)))</f>
        <v>#N/A</v>
      </c>
      <c r="L29" s="116"/>
      <c r="M29" s="79"/>
      <c r="T29" s="107" t="str">
        <f>"A"&amp;$P$6</f>
        <v>A1</v>
      </c>
      <c r="U29" s="107" t="str">
        <f>"B"&amp;$P$6</f>
        <v>B1</v>
      </c>
      <c r="AB29" s="407"/>
    </row>
    <row r="30" spans="1:28" s="6" customFormat="1" ht="3.95" customHeight="1" x14ac:dyDescent="0.2">
      <c r="A30" s="53"/>
      <c r="B30" s="108"/>
      <c r="C30" s="86"/>
      <c r="D30" s="85"/>
      <c r="E30" s="86"/>
      <c r="F30" s="108"/>
      <c r="G30" s="92"/>
      <c r="H30" s="115"/>
      <c r="I30" s="111"/>
      <c r="J30" s="84"/>
      <c r="K30" s="111"/>
      <c r="L30" s="115"/>
      <c r="M30" s="79"/>
      <c r="T30" s="108"/>
      <c r="U30" s="108"/>
      <c r="AB30" s="128"/>
    </row>
    <row r="31" spans="1:28" s="6" customFormat="1" ht="39.950000000000003" customHeight="1" x14ac:dyDescent="0.2">
      <c r="A31" s="53">
        <v>13</v>
      </c>
      <c r="B31" s="107" t="str">
        <f>IF($A$2=6,T31,W31)</f>
        <v>E1</v>
      </c>
      <c r="C31" s="77" t="str">
        <f t="shared" ca="1" si="0"/>
        <v>TAGORA</v>
      </c>
      <c r="D31" s="52" t="s">
        <v>9</v>
      </c>
      <c r="E31" s="77" t="str">
        <f t="shared" ca="1" si="1"/>
        <v>1STMG3</v>
      </c>
      <c r="F31" s="107" t="str">
        <f>IF($A$2=6,U31,X31)</f>
        <v>F1</v>
      </c>
      <c r="G31" s="91"/>
      <c r="H31" s="114"/>
      <c r="I31" s="112" t="e">
        <f ca="1">IF($P$6=1,VLOOKUP(H31,INDIRECT($Q$19),2),IF($P$6=2,VLOOKUP(H31,INDIRECT($Q$19),2),VLOOKUP(H31,INDIRECT($Q$21),2)))</f>
        <v>#N/A</v>
      </c>
      <c r="J31" s="84" t="s">
        <v>56</v>
      </c>
      <c r="K31" s="113" t="e">
        <f ca="1">IF($P$6=1,VLOOKUP(L31,INDIRECT($Q$19),2),IF($P$6=2,VLOOKUP(L31,INDIRECT($Q$19),2),VLOOKUP(L31,INDIRECT($Q$21),2)))</f>
        <v>#N/A</v>
      </c>
      <c r="L31" s="116"/>
      <c r="M31" s="79"/>
      <c r="T31" s="107" t="str">
        <f>"E"&amp;$P$6</f>
        <v>E1</v>
      </c>
      <c r="U31" s="107" t="str">
        <f>"F"&amp;$P$6</f>
        <v>F1</v>
      </c>
      <c r="AB31" s="406" t="str">
        <f>IF($R$6=1,"B"&amp;$R$6+2,IF($R$6=2,"B"&amp;$R$6-1,"B"&amp;$R$6-1))</f>
        <v>B-1</v>
      </c>
    </row>
    <row r="32" spans="1:28" s="6" customFormat="1" ht="3.95" customHeight="1" x14ac:dyDescent="0.2">
      <c r="A32" s="53"/>
      <c r="B32" s="108"/>
      <c r="C32" s="86"/>
      <c r="D32" s="85"/>
      <c r="E32" s="86"/>
      <c r="F32" s="108"/>
      <c r="G32" s="92"/>
      <c r="H32" s="115"/>
      <c r="I32" s="111"/>
      <c r="J32" s="84"/>
      <c r="K32" s="111"/>
      <c r="L32" s="115"/>
      <c r="M32" s="79"/>
      <c r="T32" s="108"/>
      <c r="U32" s="108"/>
      <c r="AB32" s="407"/>
    </row>
    <row r="33" spans="1:28" s="6" customFormat="1" ht="39.950000000000003" customHeight="1" x14ac:dyDescent="0.2">
      <c r="A33" s="53">
        <v>14</v>
      </c>
      <c r="B33" s="107" t="str">
        <f>IF($A$2=6,T33,W33)</f>
        <v>A1</v>
      </c>
      <c r="C33" s="77" t="str">
        <f t="shared" ca="1" si="0"/>
        <v>TG1</v>
      </c>
      <c r="D33" s="52" t="s">
        <v>9</v>
      </c>
      <c r="E33" s="77" t="str">
        <f t="shared" ca="1" si="1"/>
        <v>2n1</v>
      </c>
      <c r="F33" s="107" t="str">
        <f>IF($A$2=6,U33,X33)</f>
        <v>D1</v>
      </c>
      <c r="G33" s="91"/>
      <c r="H33" s="114"/>
      <c r="I33" s="112" t="e">
        <f ca="1">IF($P$6=1,VLOOKUP(H33,INDIRECT($Q$19),2),IF($P$6=2,VLOOKUP(H33,INDIRECT($Q$19),2),VLOOKUP(H33,INDIRECT($Q$21),2)))</f>
        <v>#N/A</v>
      </c>
      <c r="J33" s="84" t="s">
        <v>56</v>
      </c>
      <c r="K33" s="113" t="e">
        <f ca="1">IF($P$6=1,VLOOKUP(L33,INDIRECT($Q$19),2),IF($P$6=2,VLOOKUP(L33,INDIRECT($Q$19),2),VLOOKUP(L33,INDIRECT($Q$21),2)))</f>
        <v>#N/A</v>
      </c>
      <c r="L33" s="116"/>
      <c r="M33" s="79"/>
      <c r="T33" s="107" t="str">
        <f>"A"&amp;$P$6</f>
        <v>A1</v>
      </c>
      <c r="U33" s="107" t="str">
        <f>"D"&amp;$P$6</f>
        <v>D1</v>
      </c>
      <c r="AB33" s="128"/>
    </row>
    <row r="34" spans="1:28" s="6" customFormat="1" ht="3.95" customHeight="1" x14ac:dyDescent="0.2">
      <c r="A34" s="53"/>
      <c r="B34" s="108"/>
      <c r="C34" s="86"/>
      <c r="D34" s="85"/>
      <c r="E34" s="86"/>
      <c r="F34" s="108"/>
      <c r="G34" s="92"/>
      <c r="H34" s="115"/>
      <c r="I34" s="111"/>
      <c r="J34" s="84"/>
      <c r="K34" s="111"/>
      <c r="L34" s="115"/>
      <c r="M34" s="79"/>
      <c r="T34" s="108"/>
      <c r="U34" s="108"/>
      <c r="AB34" s="406" t="str">
        <f>IF($R$6=1,"A"&amp;$R$6+2,IF($R$6=2,"A"&amp;$R$6-1,"A"&amp;$R$6-1))</f>
        <v>A-1</v>
      </c>
    </row>
    <row r="35" spans="1:28" s="6" customFormat="1" ht="39.950000000000003" customHeight="1" x14ac:dyDescent="0.2">
      <c r="A35" s="53">
        <v>15</v>
      </c>
      <c r="B35" s="107" t="str">
        <f>IF($A$2=6,T35,W35)</f>
        <v>B1</v>
      </c>
      <c r="C35" s="77" t="str">
        <f t="shared" ca="1" si="0"/>
        <v>2n11</v>
      </c>
      <c r="D35" s="52" t="s">
        <v>9</v>
      </c>
      <c r="E35" s="77" t="str">
        <f t="shared" ca="1" si="1"/>
        <v>1G1</v>
      </c>
      <c r="F35" s="107" t="str">
        <f>IF($A$2=6,U35,X35)</f>
        <v>C1</v>
      </c>
      <c r="G35" s="91"/>
      <c r="H35" s="114"/>
      <c r="I35" s="112" t="e">
        <f ca="1">IF($P$6=1,VLOOKUP(H35,INDIRECT($Q$19),2),IF($P$6=2,VLOOKUP(H35,INDIRECT($Q$19),2),VLOOKUP(H35,INDIRECT($Q$21),2)))</f>
        <v>#N/A</v>
      </c>
      <c r="J35" s="84" t="s">
        <v>56</v>
      </c>
      <c r="K35" s="113" t="e">
        <f ca="1">IF($P$6=1,VLOOKUP(L35,INDIRECT($Q$19),2),IF($P$6=2,VLOOKUP(L35,INDIRECT($Q$19),2),VLOOKUP(L35,INDIRECT($Q$21),2)))</f>
        <v>#N/A</v>
      </c>
      <c r="L35" s="116"/>
      <c r="M35" s="79"/>
      <c r="T35" s="107" t="str">
        <f>"B"&amp;$P$6</f>
        <v>B1</v>
      </c>
      <c r="U35" s="107" t="str">
        <f>"C"&amp;$P$6</f>
        <v>C1</v>
      </c>
      <c r="AB35" s="407"/>
    </row>
    <row r="36" spans="1:28" x14ac:dyDescent="0.3">
      <c r="B36" t="s">
        <v>31</v>
      </c>
      <c r="AB36" s="128"/>
    </row>
    <row r="37" spans="1:28" x14ac:dyDescent="0.3">
      <c r="AB37" s="406" t="str">
        <f>IF($R$6=1,"D"&amp;$R$6+2,IF($R$6=2,"D"&amp;$R$6-1,"D"&amp;$R$6-1))</f>
        <v>D-1</v>
      </c>
    </row>
    <row r="38" spans="1:28" x14ac:dyDescent="0.3">
      <c r="AB38" s="407"/>
    </row>
    <row r="39" spans="1:28" x14ac:dyDescent="0.3">
      <c r="AB39" s="128"/>
    </row>
    <row r="40" spans="1:28" x14ac:dyDescent="0.3">
      <c r="AB40" s="406" t="str">
        <f>IF($R$6=1,"C"&amp;$R$6+2,IF($R$6=2,"C"&amp;$R$6-1,"C"&amp;$R$6-1))</f>
        <v>C-1</v>
      </c>
    </row>
    <row r="41" spans="1:28" x14ac:dyDescent="0.3">
      <c r="AB41" s="407"/>
    </row>
    <row r="42" spans="1:28" x14ac:dyDescent="0.3">
      <c r="AB42" s="128"/>
    </row>
    <row r="43" spans="1:28" x14ac:dyDescent="0.3">
      <c r="AB43" s="406" t="str">
        <f>IF($R$6=1,"B"&amp;$R$6+2,IF($R$6=2,"B"&amp;$R$6-1,"B"&amp;$R$6-1))</f>
        <v>B-1</v>
      </c>
    </row>
    <row r="44" spans="1:28" x14ac:dyDescent="0.3">
      <c r="AB44" s="407"/>
    </row>
    <row r="45" spans="1:28" x14ac:dyDescent="0.3">
      <c r="AB45" s="128"/>
    </row>
    <row r="46" spans="1:28" x14ac:dyDescent="0.3">
      <c r="AB46" s="406" t="str">
        <f>IF($R$6=1,"E"&amp;$R$6+2,IF($R$6=2,"E"&amp;$R$6-1,"E"&amp;$R$6-1))</f>
        <v>E-1</v>
      </c>
    </row>
    <row r="47" spans="1:28" x14ac:dyDescent="0.3">
      <c r="AB47" s="407"/>
    </row>
    <row r="48" spans="1:28" x14ac:dyDescent="0.3">
      <c r="AB48" s="128"/>
    </row>
    <row r="49" spans="28:28" x14ac:dyDescent="0.3">
      <c r="AB49" s="406" t="str">
        <f>IF($R$6=1,"A"&amp;$R$6+2,IF($R$6=2,"A"&amp;$R$6-1,"A"&amp;$R$6-1))</f>
        <v>A-1</v>
      </c>
    </row>
    <row r="50" spans="28:28" x14ac:dyDescent="0.3">
      <c r="AB50" s="407"/>
    </row>
  </sheetData>
  <mergeCells count="19">
    <mergeCell ref="AB49:AB50"/>
    <mergeCell ref="AB31:AB32"/>
    <mergeCell ref="AB34:AB35"/>
    <mergeCell ref="AB37:AB38"/>
    <mergeCell ref="AB40:AB41"/>
    <mergeCell ref="AB43:AB44"/>
    <mergeCell ref="AB46:AB47"/>
    <mergeCell ref="AB28:AB29"/>
    <mergeCell ref="B1:L1"/>
    <mergeCell ref="B2:L2"/>
    <mergeCell ref="B3:L3"/>
    <mergeCell ref="H5:L5"/>
    <mergeCell ref="AB7:AB8"/>
    <mergeCell ref="AB10:AB11"/>
    <mergeCell ref="AB13:AB14"/>
    <mergeCell ref="AB16:AB17"/>
    <mergeCell ref="AB19:AB20"/>
    <mergeCell ref="AB22:AB23"/>
    <mergeCell ref="AB25:AB26"/>
  </mergeCells>
  <printOptions horizontalCentered="1" verticalCentered="1"/>
  <pageMargins left="0.11811023622047245" right="0.11811023622047245" top="0.35433070866141736" bottom="0.35433070866141736" header="0.31496062992125984" footer="0.31496062992125984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print="0" autoLine="0" autoPict="0">
                <anchor moveWithCells="1">
                  <from>
                    <xdr:col>1</xdr:col>
                    <xdr:colOff>171450</xdr:colOff>
                    <xdr:row>3</xdr:row>
                    <xdr:rowOff>66675</xdr:rowOff>
                  </from>
                  <to>
                    <xdr:col>2</xdr:col>
                    <xdr:colOff>1104900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print="0" autoLine="0" autoPict="0">
                <anchor moveWithCells="1">
                  <from>
                    <xdr:col>1</xdr:col>
                    <xdr:colOff>171450</xdr:colOff>
                    <xdr:row>5</xdr:row>
                    <xdr:rowOff>0</xdr:rowOff>
                  </from>
                  <to>
                    <xdr:col>2</xdr:col>
                    <xdr:colOff>1095375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6"/>
  <dimension ref="A1:AD64"/>
  <sheetViews>
    <sheetView showGridLines="0" zoomScale="90" zoomScaleNormal="90" workbookViewId="0">
      <selection activeCell="C6" sqref="C6"/>
    </sheetView>
  </sheetViews>
  <sheetFormatPr baseColWidth="10" defaultRowHeight="12.75" x14ac:dyDescent="0.2"/>
  <cols>
    <col min="1" max="1" width="3.85546875" style="80" bestFit="1" customWidth="1"/>
    <col min="2" max="2" width="9.28515625" customWidth="1"/>
    <col min="3" max="3" width="13.85546875" bestFit="1" customWidth="1"/>
    <col min="4" max="4" width="1.5703125" customWidth="1"/>
    <col min="5" max="5" width="14.85546875" customWidth="1"/>
    <col min="6" max="6" width="7" customWidth="1"/>
    <col min="7" max="7" width="0.85546875" customWidth="1"/>
    <col min="8" max="8" width="8.7109375" customWidth="1"/>
    <col min="9" max="9" width="1.140625" customWidth="1"/>
    <col min="10" max="10" width="8.7109375" customWidth="1"/>
    <col min="11" max="11" width="1.28515625" customWidth="1"/>
    <col min="12" max="12" width="6.5703125" customWidth="1"/>
    <col min="13" max="13" width="1.140625" customWidth="1"/>
    <col min="14" max="14" width="5.7109375" customWidth="1"/>
    <col min="15" max="15" width="1.7109375" customWidth="1"/>
    <col min="16" max="24" width="11.42578125" hidden="1" customWidth="1"/>
    <col min="25" max="25" width="3.140625" hidden="1" customWidth="1"/>
    <col min="26" max="27" width="2.42578125" style="6" hidden="1" customWidth="1"/>
    <col min="28" max="28" width="3.140625" style="6" hidden="1" customWidth="1"/>
    <col min="29" max="30" width="2.42578125" style="6" hidden="1" customWidth="1"/>
    <col min="31" max="32" width="11.42578125" customWidth="1"/>
  </cols>
  <sheetData>
    <row r="1" spans="1:30" ht="23.25" x14ac:dyDescent="0.35">
      <c r="A1" s="80" t="s">
        <v>94</v>
      </c>
      <c r="B1" s="395" t="s">
        <v>21</v>
      </c>
      <c r="C1" s="395"/>
      <c r="D1" s="395"/>
      <c r="E1" s="395"/>
      <c r="F1" s="395"/>
      <c r="G1" s="395"/>
      <c r="H1" s="395"/>
      <c r="I1" s="395"/>
      <c r="J1" s="395"/>
      <c r="K1" s="51"/>
      <c r="L1" s="294">
        <v>3</v>
      </c>
      <c r="M1" s="293"/>
      <c r="N1" s="293" t="s">
        <v>36</v>
      </c>
      <c r="O1" s="293"/>
      <c r="P1" s="293"/>
      <c r="T1" s="1">
        <f ca="1">INDIRECT("eq"&amp;R13)</f>
        <v>6</v>
      </c>
    </row>
    <row r="2" spans="1:30" ht="23.25" x14ac:dyDescent="0.35">
      <c r="A2" s="177">
        <f ca="1">T1</f>
        <v>6</v>
      </c>
      <c r="B2" s="395" t="str">
        <f>"FETE DU VOLLEY " &amp;Init!L3</f>
        <v xml:space="preserve">FETE DU VOLLEY </v>
      </c>
      <c r="C2" s="395"/>
      <c r="D2" s="395"/>
      <c r="E2" s="395"/>
      <c r="F2" s="395"/>
      <c r="G2" s="395"/>
      <c r="H2" s="395"/>
      <c r="I2" s="395"/>
      <c r="J2" s="395"/>
      <c r="K2" s="51"/>
      <c r="L2" s="293"/>
      <c r="M2" s="293"/>
      <c r="N2" s="293" t="s">
        <v>62</v>
      </c>
      <c r="O2" s="293"/>
      <c r="P2" s="293"/>
      <c r="Q2" s="102">
        <v>2</v>
      </c>
      <c r="R2" s="88" t="s">
        <v>60</v>
      </c>
      <c r="T2" t="str">
        <f ca="1">"groupe"&amp;T1</f>
        <v>groupe6</v>
      </c>
    </row>
    <row r="3" spans="1:30" ht="23.25" x14ac:dyDescent="0.35">
      <c r="B3" s="395" t="str">
        <f>"GYMNASE" &amp;" "&amp;R15</f>
        <v>GYMNASE Tourrier</v>
      </c>
      <c r="C3" s="395"/>
      <c r="D3" s="395"/>
      <c r="E3" s="395"/>
      <c r="F3" s="395"/>
      <c r="G3" s="395"/>
      <c r="H3" s="395"/>
      <c r="I3" s="395"/>
      <c r="J3" s="395"/>
      <c r="K3" s="51"/>
      <c r="L3" s="293"/>
      <c r="M3" s="293"/>
      <c r="N3" s="293" t="s">
        <v>63</v>
      </c>
      <c r="O3" s="293"/>
      <c r="P3" s="293"/>
      <c r="R3" s="88" t="s">
        <v>61</v>
      </c>
    </row>
    <row r="4" spans="1:30" ht="15" customHeight="1" x14ac:dyDescent="0.35">
      <c r="B4" s="51"/>
      <c r="C4" s="51"/>
      <c r="D4" s="51"/>
      <c r="E4" s="51"/>
      <c r="F4" s="51"/>
      <c r="G4" s="51"/>
      <c r="H4" s="51"/>
      <c r="I4" s="51"/>
      <c r="J4" s="51"/>
      <c r="K4" s="51"/>
      <c r="N4" s="53"/>
    </row>
    <row r="5" spans="1:30" ht="23.25" x14ac:dyDescent="0.35">
      <c r="B5" s="89"/>
      <c r="C5" s="51"/>
      <c r="D5" s="51"/>
      <c r="E5" s="51" t="s">
        <v>96</v>
      </c>
      <c r="F5" s="51"/>
      <c r="G5" s="51"/>
      <c r="H5" s="410"/>
      <c r="I5" s="410"/>
      <c r="J5" s="410"/>
      <c r="K5" s="51"/>
      <c r="N5" s="104"/>
    </row>
    <row r="6" spans="1:30" ht="25.5" x14ac:dyDescent="0.35">
      <c r="B6" s="53"/>
      <c r="E6" s="81">
        <f>L1</f>
        <v>3</v>
      </c>
      <c r="H6" s="409" t="s">
        <v>64</v>
      </c>
      <c r="I6" s="409"/>
      <c r="J6" s="409"/>
      <c r="K6" s="78"/>
      <c r="Y6" s="412" t="s">
        <v>185</v>
      </c>
      <c r="Z6" s="412"/>
      <c r="AA6" s="412"/>
      <c r="AB6" s="411" t="s">
        <v>186</v>
      </c>
      <c r="AC6" s="411"/>
      <c r="AD6" s="411"/>
    </row>
    <row r="7" spans="1:30" s="6" customFormat="1" ht="22.5" customHeight="1" x14ac:dyDescent="0.2">
      <c r="A7" s="90">
        <v>1</v>
      </c>
      <c r="B7" s="105" t="str">
        <f ca="1">T7</f>
        <v>A3</v>
      </c>
      <c r="C7" s="107" t="str">
        <f ca="1">VLOOKUP(B7,INDIRECT($R$13),2)</f>
        <v>TG7</v>
      </c>
      <c r="D7" s="291" t="s">
        <v>9</v>
      </c>
      <c r="E7" s="107" t="str">
        <f ca="1">VLOOKUP(F7,INDIRECT($R$13),2)</f>
        <v>2n5</v>
      </c>
      <c r="F7" s="105" t="str">
        <f ca="1">U7</f>
        <v>B3</v>
      </c>
      <c r="G7" s="91"/>
      <c r="H7" s="93"/>
      <c r="I7" s="84"/>
      <c r="J7" s="93"/>
      <c r="K7" s="79"/>
      <c r="R7" s="53" t="s">
        <v>187</v>
      </c>
      <c r="S7" s="6">
        <v>1</v>
      </c>
      <c r="T7" s="107" t="str">
        <f ca="1">VLOOKUP(S7,INDIRECT($T$2),2)&amp;$L$1</f>
        <v>A3</v>
      </c>
      <c r="U7" s="107" t="str">
        <f ca="1">VLOOKUP(S7,INDIRECT($T$2),3)&amp;$L$1</f>
        <v>B3</v>
      </c>
      <c r="W7" s="144" t="str">
        <f>"A"&amp;$L$1</f>
        <v>A3</v>
      </c>
      <c r="X7" s="145" t="str">
        <f>"B"&amp;$L$1</f>
        <v>B3</v>
      </c>
      <c r="Y7" s="295">
        <v>1</v>
      </c>
      <c r="Z7" s="295" t="s">
        <v>173</v>
      </c>
      <c r="AA7" s="295" t="s">
        <v>174</v>
      </c>
      <c r="AB7" s="297">
        <v>1</v>
      </c>
      <c r="AC7" s="297" t="s">
        <v>173</v>
      </c>
      <c r="AD7" s="297" t="s">
        <v>174</v>
      </c>
    </row>
    <row r="8" spans="1:30" s="6" customFormat="1" ht="5.0999999999999996" customHeight="1" x14ac:dyDescent="0.2">
      <c r="A8" s="90"/>
      <c r="B8" s="106"/>
      <c r="C8" s="108"/>
      <c r="D8" s="292"/>
      <c r="E8" s="108"/>
      <c r="F8" s="106"/>
      <c r="G8" s="92"/>
      <c r="H8" s="94"/>
      <c r="I8" s="84"/>
      <c r="J8" s="94"/>
      <c r="K8" s="79"/>
      <c r="T8" s="107"/>
      <c r="U8" s="107"/>
      <c r="Y8" s="295"/>
      <c r="Z8" s="295"/>
      <c r="AA8" s="295"/>
      <c r="AB8" s="297"/>
      <c r="AC8" s="297"/>
      <c r="AD8" s="297"/>
    </row>
    <row r="9" spans="1:30" s="6" customFormat="1" ht="22.5" customHeight="1" x14ac:dyDescent="0.2">
      <c r="A9" s="90">
        <v>2</v>
      </c>
      <c r="B9" s="105" t="str">
        <f ca="1">T9</f>
        <v>C3</v>
      </c>
      <c r="C9" s="107" t="str">
        <f ca="1">VLOOKUP(B9,INDIRECT($R$13),2)</f>
        <v>1G7</v>
      </c>
      <c r="D9" s="291" t="s">
        <v>9</v>
      </c>
      <c r="E9" s="107" t="str">
        <f ca="1">VLOOKUP(F9,INDIRECT($R$13),2)</f>
        <v>2n4</v>
      </c>
      <c r="F9" s="105" t="str">
        <f ca="1">U9</f>
        <v>D3</v>
      </c>
      <c r="G9" s="91"/>
      <c r="H9" s="93"/>
      <c r="I9" s="84"/>
      <c r="J9" s="93"/>
      <c r="K9" s="79"/>
      <c r="R9" s="6">
        <v>3</v>
      </c>
      <c r="S9" s="6">
        <v>2</v>
      </c>
      <c r="T9" s="107" t="str">
        <f ca="1">VLOOKUP(S9,INDIRECT($T$2),2)&amp;$L$1</f>
        <v>C3</v>
      </c>
      <c r="U9" s="107" t="str">
        <f ca="1">VLOOKUP(S9,INDIRECT($T$2),3)&amp;$L$1</f>
        <v>D3</v>
      </c>
      <c r="W9" s="146" t="str">
        <f>"C"&amp;$L$1</f>
        <v>C3</v>
      </c>
      <c r="X9" s="147" t="str">
        <f>"D"&amp;$L$1</f>
        <v>D3</v>
      </c>
      <c r="Y9" s="295">
        <v>2</v>
      </c>
      <c r="Z9" s="295" t="s">
        <v>175</v>
      </c>
      <c r="AA9" s="295" t="s">
        <v>176</v>
      </c>
      <c r="AB9" s="297">
        <v>2</v>
      </c>
      <c r="AC9" s="297" t="s">
        <v>175</v>
      </c>
      <c r="AD9" s="297" t="s">
        <v>176</v>
      </c>
    </row>
    <row r="10" spans="1:30" s="6" customFormat="1" ht="5.0999999999999996" customHeight="1" x14ac:dyDescent="0.2">
      <c r="A10" s="90"/>
      <c r="B10" s="106"/>
      <c r="C10" s="108"/>
      <c r="D10" s="292"/>
      <c r="E10" s="108"/>
      <c r="F10" s="106"/>
      <c r="G10" s="92"/>
      <c r="H10" s="94"/>
      <c r="I10" s="84"/>
      <c r="J10" s="94"/>
      <c r="K10" s="79"/>
      <c r="T10" s="108"/>
      <c r="U10" s="108"/>
      <c r="Y10" s="295"/>
      <c r="Z10" s="295"/>
      <c r="AA10" s="295"/>
      <c r="AB10" s="297"/>
      <c r="AC10" s="297"/>
      <c r="AD10" s="297"/>
    </row>
    <row r="11" spans="1:30" s="6" customFormat="1" ht="22.5" customHeight="1" x14ac:dyDescent="0.2">
      <c r="A11" s="90">
        <v>3</v>
      </c>
      <c r="B11" s="105" t="str">
        <f ca="1">T11</f>
        <v>F3</v>
      </c>
      <c r="C11" s="107" t="str">
        <f ca="1">VLOOKUP(B11,INDIRECT($R$13),2)</f>
        <v>1AGORA</v>
      </c>
      <c r="D11" s="291" t="s">
        <v>9</v>
      </c>
      <c r="E11" s="107" t="str">
        <f ca="1">VLOOKUP(F11,INDIRECT($R$13),2)</f>
        <v>TG8</v>
      </c>
      <c r="F11" s="105" t="str">
        <f ca="1">U11</f>
        <v>E3</v>
      </c>
      <c r="G11" s="91"/>
      <c r="H11" s="93"/>
      <c r="I11" s="84"/>
      <c r="J11" s="93"/>
      <c r="K11" s="79"/>
      <c r="R11" s="6" t="str">
        <f>IF(Q2=1,"Lyc","Tou")</f>
        <v>Tou</v>
      </c>
      <c r="S11" s="6">
        <v>3</v>
      </c>
      <c r="T11" s="107" t="str">
        <f ca="1">VLOOKUP(S11,INDIRECT($T$2),2)&amp;$L$1</f>
        <v>F3</v>
      </c>
      <c r="U11" s="107" t="str">
        <f ca="1">VLOOKUP(S11,INDIRECT($T$2),3)&amp;$L$1</f>
        <v>E3</v>
      </c>
      <c r="W11" s="144" t="str">
        <f>"A"&amp;$L$1</f>
        <v>A3</v>
      </c>
      <c r="X11" s="148" t="str">
        <f>"E"&amp;$L$1</f>
        <v>E3</v>
      </c>
      <c r="Y11" s="295">
        <v>3</v>
      </c>
      <c r="Z11" s="295" t="s">
        <v>178</v>
      </c>
      <c r="AA11" s="295" t="s">
        <v>177</v>
      </c>
      <c r="AB11" s="297">
        <v>3</v>
      </c>
      <c r="AC11" s="297" t="s">
        <v>178</v>
      </c>
      <c r="AD11" s="297" t="s">
        <v>177</v>
      </c>
    </row>
    <row r="12" spans="1:30" s="6" customFormat="1" ht="5.0999999999999996" customHeight="1" x14ac:dyDescent="0.2">
      <c r="A12" s="90"/>
      <c r="B12" s="106"/>
      <c r="C12" s="108"/>
      <c r="D12" s="292"/>
      <c r="E12" s="108"/>
      <c r="F12" s="106"/>
      <c r="G12" s="92"/>
      <c r="H12" s="94"/>
      <c r="I12" s="84"/>
      <c r="J12" s="94"/>
      <c r="K12" s="79"/>
      <c r="T12" s="108"/>
      <c r="U12" s="108"/>
      <c r="Y12" s="295"/>
      <c r="Z12" s="295"/>
      <c r="AA12" s="295"/>
      <c r="AB12" s="297"/>
      <c r="AC12" s="297"/>
      <c r="AD12" s="297"/>
    </row>
    <row r="13" spans="1:30" s="6" customFormat="1" ht="22.5" customHeight="1" x14ac:dyDescent="0.2">
      <c r="A13" s="90">
        <v>4</v>
      </c>
      <c r="B13" s="105" t="str">
        <f ca="1">T13</f>
        <v>B3</v>
      </c>
      <c r="C13" s="107" t="str">
        <f ca="1">VLOOKUP(B13,INDIRECT($R$13),2)</f>
        <v>2n5</v>
      </c>
      <c r="D13" s="291" t="s">
        <v>9</v>
      </c>
      <c r="E13" s="107" t="str">
        <f ca="1">VLOOKUP(F13,INDIRECT($R$13),2)</f>
        <v>2n4</v>
      </c>
      <c r="F13" s="105" t="str">
        <f ca="1">U13</f>
        <v>D3</v>
      </c>
      <c r="G13" s="91"/>
      <c r="H13" s="93"/>
      <c r="I13" s="84"/>
      <c r="J13" s="93"/>
      <c r="K13" s="79"/>
      <c r="R13" s="6" t="str">
        <f>R11&amp;"T"&amp;L1</f>
        <v>TouT3</v>
      </c>
      <c r="S13" s="6">
        <v>4</v>
      </c>
      <c r="T13" s="107" t="str">
        <f ca="1">VLOOKUP(S13,INDIRECT($T$2),2)&amp;$L$1</f>
        <v>B3</v>
      </c>
      <c r="U13" s="107" t="str">
        <f ca="1">VLOOKUP(S13,INDIRECT($T$2),3)&amp;$L$1</f>
        <v>D3</v>
      </c>
      <c r="W13" s="145" t="str">
        <f>"B"&amp;$L$1</f>
        <v>B3</v>
      </c>
      <c r="X13" s="146" t="str">
        <f>"C"&amp;$L$1</f>
        <v>C3</v>
      </c>
      <c r="Y13" s="295">
        <v>4</v>
      </c>
      <c r="Z13" s="295" t="s">
        <v>180</v>
      </c>
      <c r="AA13" s="295" t="s">
        <v>173</v>
      </c>
      <c r="AB13" s="297">
        <v>4</v>
      </c>
      <c r="AC13" s="297" t="s">
        <v>174</v>
      </c>
      <c r="AD13" s="297" t="s">
        <v>176</v>
      </c>
    </row>
    <row r="14" spans="1:30" s="6" customFormat="1" ht="5.0999999999999996" customHeight="1" x14ac:dyDescent="0.2">
      <c r="A14" s="90"/>
      <c r="B14" s="106"/>
      <c r="C14" s="108"/>
      <c r="D14" s="292"/>
      <c r="E14" s="108"/>
      <c r="F14" s="106"/>
      <c r="G14" s="92"/>
      <c r="H14" s="94"/>
      <c r="I14" s="84"/>
      <c r="J14" s="94"/>
      <c r="K14" s="79"/>
      <c r="T14" s="108"/>
      <c r="U14" s="108"/>
      <c r="Y14" s="295"/>
      <c r="Z14" s="295"/>
      <c r="AA14" s="295"/>
      <c r="AB14" s="297"/>
      <c r="AC14" s="297"/>
      <c r="AD14" s="297"/>
    </row>
    <row r="15" spans="1:30" s="6" customFormat="1" ht="22.5" customHeight="1" x14ac:dyDescent="0.2">
      <c r="A15" s="90">
        <v>5</v>
      </c>
      <c r="B15" s="105" t="str">
        <f ca="1">T15</f>
        <v>C3</v>
      </c>
      <c r="C15" s="107" t="str">
        <f ca="1">VLOOKUP(B15,INDIRECT($R$13),2)</f>
        <v>1G7</v>
      </c>
      <c r="D15" s="291" t="s">
        <v>9</v>
      </c>
      <c r="E15" s="107" t="str">
        <f ca="1">VLOOKUP(F15,INDIRECT($R$13),2)</f>
        <v>TG8</v>
      </c>
      <c r="F15" s="105" t="str">
        <f ca="1">U15</f>
        <v>E3</v>
      </c>
      <c r="G15" s="91"/>
      <c r="H15" s="93"/>
      <c r="I15" s="84"/>
      <c r="J15" s="93"/>
      <c r="K15" s="79"/>
      <c r="R15" s="6" t="str">
        <f>IF(Q2=1,"Lycée","Tourrier")</f>
        <v>Tourrier</v>
      </c>
      <c r="S15" s="6">
        <v>5</v>
      </c>
      <c r="T15" s="107" t="str">
        <f ca="1">VLOOKUP(S15,INDIRECT($T$2),2)&amp;$L$1</f>
        <v>C3</v>
      </c>
      <c r="U15" s="107" t="str">
        <f ca="1">VLOOKUP(S15,INDIRECT($T$2),3)&amp;$L$1</f>
        <v>E3</v>
      </c>
      <c r="W15" s="147" t="str">
        <f>"D"&amp;$L$1</f>
        <v>D3</v>
      </c>
      <c r="X15" s="148" t="str">
        <f>"E"&amp;$L$1</f>
        <v>E3</v>
      </c>
      <c r="Y15" s="295">
        <v>5</v>
      </c>
      <c r="Z15" s="295" t="s">
        <v>174</v>
      </c>
      <c r="AA15" s="295" t="s">
        <v>176</v>
      </c>
      <c r="AB15" s="297">
        <v>5</v>
      </c>
      <c r="AC15" s="297" t="s">
        <v>175</v>
      </c>
      <c r="AD15" s="297" t="s">
        <v>177</v>
      </c>
    </row>
    <row r="16" spans="1:30" s="6" customFormat="1" ht="5.0999999999999996" customHeight="1" x14ac:dyDescent="0.2">
      <c r="A16" s="90"/>
      <c r="B16" s="106"/>
      <c r="C16" s="108"/>
      <c r="D16" s="292"/>
      <c r="E16" s="108"/>
      <c r="F16" s="106"/>
      <c r="G16" s="92"/>
      <c r="H16" s="94"/>
      <c r="I16" s="84"/>
      <c r="J16" s="94"/>
      <c r="K16" s="79"/>
      <c r="T16" s="108"/>
      <c r="U16" s="108"/>
      <c r="Y16" s="295"/>
      <c r="Z16" s="295"/>
      <c r="AA16" s="295"/>
      <c r="AB16" s="297"/>
      <c r="AC16" s="297"/>
      <c r="AD16" s="297"/>
    </row>
    <row r="17" spans="1:30" s="6" customFormat="1" ht="22.5" customHeight="1" x14ac:dyDescent="0.2">
      <c r="A17" s="90">
        <v>6</v>
      </c>
      <c r="B17" s="105" t="str">
        <f ca="1">T17</f>
        <v>D3</v>
      </c>
      <c r="C17" s="107" t="str">
        <f ca="1">VLOOKUP(B17,INDIRECT($R$13),2)</f>
        <v>2n4</v>
      </c>
      <c r="D17" s="291" t="s">
        <v>9</v>
      </c>
      <c r="E17" s="107" t="str">
        <f ca="1">VLOOKUP(F17,INDIRECT($R$13),2)</f>
        <v>TG7</v>
      </c>
      <c r="F17" s="105" t="str">
        <f ca="1">U17</f>
        <v>A3</v>
      </c>
      <c r="G17" s="91"/>
      <c r="H17" s="93"/>
      <c r="I17" s="84"/>
      <c r="J17" s="93"/>
      <c r="K17" s="79"/>
      <c r="S17" s="6">
        <v>6</v>
      </c>
      <c r="T17" s="107" t="str">
        <f ca="1">VLOOKUP(S17,INDIRECT($T$2),2)&amp;$L$1</f>
        <v>D3</v>
      </c>
      <c r="U17" s="107" t="str">
        <f ca="1">VLOOKUP(S17,INDIRECT($T$2),3)&amp;$L$1</f>
        <v>A3</v>
      </c>
      <c r="W17" s="144" t="str">
        <f>"A"&amp;$L$1</f>
        <v>A3</v>
      </c>
      <c r="X17" s="146" t="str">
        <f>"C"&amp;$L$1</f>
        <v>C3</v>
      </c>
      <c r="Y17" s="295">
        <v>6</v>
      </c>
      <c r="Z17" s="295" t="s">
        <v>175</v>
      </c>
      <c r="AA17" s="295" t="s">
        <v>177</v>
      </c>
      <c r="AB17" s="297">
        <v>6</v>
      </c>
      <c r="AC17" s="297" t="s">
        <v>176</v>
      </c>
      <c r="AD17" s="297" t="s">
        <v>173</v>
      </c>
    </row>
    <row r="18" spans="1:30" s="6" customFormat="1" ht="5.0999999999999996" customHeight="1" x14ac:dyDescent="0.2">
      <c r="A18" s="90"/>
      <c r="B18" s="106"/>
      <c r="C18" s="108"/>
      <c r="D18" s="292"/>
      <c r="E18" s="108"/>
      <c r="F18" s="106"/>
      <c r="G18" s="92"/>
      <c r="H18" s="94"/>
      <c r="I18" s="84"/>
      <c r="J18" s="94"/>
      <c r="K18" s="79"/>
      <c r="T18" s="108"/>
      <c r="U18" s="108"/>
      <c r="Y18" s="295"/>
      <c r="Z18" s="295"/>
      <c r="AA18" s="295"/>
      <c r="AB18" s="297"/>
      <c r="AC18" s="297"/>
      <c r="AD18" s="297"/>
    </row>
    <row r="19" spans="1:30" s="6" customFormat="1" ht="22.5" customHeight="1" x14ac:dyDescent="0.2">
      <c r="A19" s="90">
        <v>7</v>
      </c>
      <c r="B19" s="105" t="str">
        <f ca="1">T19</f>
        <v>B3</v>
      </c>
      <c r="C19" s="107" t="str">
        <f ca="1">VLOOKUP(B19,INDIRECT($R$13),2)</f>
        <v>2n5</v>
      </c>
      <c r="D19" s="291" t="s">
        <v>9</v>
      </c>
      <c r="E19" s="107" t="str">
        <f ca="1">VLOOKUP(F19,INDIRECT($R$13),2)</f>
        <v>1G7</v>
      </c>
      <c r="F19" s="105" t="str">
        <f ca="1">U19</f>
        <v>C3</v>
      </c>
      <c r="G19" s="91"/>
      <c r="H19" s="93"/>
      <c r="I19" s="84"/>
      <c r="J19" s="93"/>
      <c r="K19" s="79"/>
      <c r="S19" s="6">
        <v>7</v>
      </c>
      <c r="T19" s="107" t="str">
        <f ca="1">VLOOKUP(S19,INDIRECT($T$2),2)&amp;$L$1</f>
        <v>B3</v>
      </c>
      <c r="U19" s="107" t="str">
        <f ca="1">VLOOKUP(S19,INDIRECT($T$2),3)&amp;$L$1</f>
        <v>C3</v>
      </c>
      <c r="W19" s="145" t="str">
        <f>"B"&amp;$L$1</f>
        <v>B3</v>
      </c>
      <c r="X19" s="147" t="str">
        <f>"D"&amp;$L$1</f>
        <v>D3</v>
      </c>
      <c r="Y19" s="295">
        <v>7</v>
      </c>
      <c r="Z19" s="295" t="s">
        <v>180</v>
      </c>
      <c r="AA19" s="295" t="s">
        <v>178</v>
      </c>
      <c r="AB19" s="297">
        <v>7</v>
      </c>
      <c r="AC19" s="297" t="s">
        <v>174</v>
      </c>
      <c r="AD19" s="297" t="s">
        <v>175</v>
      </c>
    </row>
    <row r="20" spans="1:30" s="6" customFormat="1" ht="5.0999999999999996" customHeight="1" x14ac:dyDescent="0.2">
      <c r="A20" s="90"/>
      <c r="B20" s="106"/>
      <c r="C20" s="108"/>
      <c r="D20" s="292"/>
      <c r="E20" s="108"/>
      <c r="F20" s="106"/>
      <c r="G20" s="92"/>
      <c r="H20" s="94"/>
      <c r="I20" s="84"/>
      <c r="J20" s="94"/>
      <c r="K20" s="79"/>
      <c r="T20" s="108"/>
      <c r="U20" s="108"/>
      <c r="Y20" s="295"/>
      <c r="Z20" s="295"/>
      <c r="AA20" s="295"/>
      <c r="AB20" s="297"/>
      <c r="AC20" s="297"/>
      <c r="AD20" s="297"/>
    </row>
    <row r="21" spans="1:30" s="6" customFormat="1" ht="22.5" customHeight="1" x14ac:dyDescent="0.2">
      <c r="A21" s="90">
        <v>8</v>
      </c>
      <c r="B21" s="105" t="str">
        <f ca="1">T21</f>
        <v>F3</v>
      </c>
      <c r="C21" s="107" t="str">
        <f ca="1">VLOOKUP(B21,INDIRECT($R$13),2)</f>
        <v>1AGORA</v>
      </c>
      <c r="D21" s="291" t="s">
        <v>9</v>
      </c>
      <c r="E21" s="107" t="str">
        <f ca="1">VLOOKUP(F21,INDIRECT($R$13),2)</f>
        <v>TG7</v>
      </c>
      <c r="F21" s="105" t="str">
        <f ca="1">U21</f>
        <v>A3</v>
      </c>
      <c r="G21" s="91"/>
      <c r="H21" s="93"/>
      <c r="I21" s="84"/>
      <c r="J21" s="93"/>
      <c r="K21" s="79"/>
      <c r="Q21" s="53" t="s">
        <v>100</v>
      </c>
      <c r="R21" s="6">
        <v>7</v>
      </c>
      <c r="S21" s="6">
        <v>8</v>
      </c>
      <c r="T21" s="107" t="str">
        <f ca="1">VLOOKUP(S21,INDIRECT($T$2),2)&amp;$L$1</f>
        <v>F3</v>
      </c>
      <c r="U21" s="107" t="str">
        <f ca="1">VLOOKUP(S21,INDIRECT($T$2),3)&amp;$L$1</f>
        <v>A3</v>
      </c>
      <c r="W21" s="146" t="str">
        <f>"C"&amp;$L$1</f>
        <v>C3</v>
      </c>
      <c r="X21" s="148" t="str">
        <f>"E"&amp;$L$1</f>
        <v>E3</v>
      </c>
      <c r="Y21" s="295">
        <v>8</v>
      </c>
      <c r="Z21" s="295" t="s">
        <v>176</v>
      </c>
      <c r="AA21" s="295" t="s">
        <v>173</v>
      </c>
      <c r="AB21" s="297">
        <v>8</v>
      </c>
      <c r="AC21" s="297" t="s">
        <v>178</v>
      </c>
      <c r="AD21" s="297" t="s">
        <v>173</v>
      </c>
    </row>
    <row r="22" spans="1:30" s="6" customFormat="1" ht="5.0999999999999996" customHeight="1" x14ac:dyDescent="0.2">
      <c r="A22" s="90"/>
      <c r="B22" s="106"/>
      <c r="C22" s="108"/>
      <c r="D22" s="292"/>
      <c r="E22" s="108"/>
      <c r="F22" s="106"/>
      <c r="G22" s="92"/>
      <c r="H22" s="94"/>
      <c r="I22" s="84"/>
      <c r="J22" s="94"/>
      <c r="K22" s="79"/>
      <c r="T22" s="108"/>
      <c r="U22" s="108"/>
      <c r="Y22" s="295"/>
      <c r="Z22" s="295"/>
      <c r="AA22" s="295"/>
      <c r="AB22" s="297"/>
      <c r="AC22" s="297"/>
      <c r="AD22" s="297"/>
    </row>
    <row r="23" spans="1:30" s="6" customFormat="1" ht="22.5" customHeight="1" x14ac:dyDescent="0.2">
      <c r="A23" s="90">
        <v>9</v>
      </c>
      <c r="B23" s="105" t="str">
        <f ca="1">T23</f>
        <v>C3</v>
      </c>
      <c r="C23" s="107" t="str">
        <f ca="1">VLOOKUP(B23,INDIRECT($R$13),2)</f>
        <v>1G7</v>
      </c>
      <c r="D23" s="291" t="s">
        <v>9</v>
      </c>
      <c r="E23" s="107" t="str">
        <f ca="1">VLOOKUP(F23,INDIRECT($R$13),2)</f>
        <v>1AGORA</v>
      </c>
      <c r="F23" s="105" t="str">
        <f ca="1">U23</f>
        <v>F3</v>
      </c>
      <c r="G23" s="91"/>
      <c r="H23" s="93"/>
      <c r="I23" s="84"/>
      <c r="J23" s="93"/>
      <c r="K23" s="79"/>
      <c r="Q23" s="53" t="s">
        <v>101</v>
      </c>
      <c r="R23" s="149">
        <v>6</v>
      </c>
      <c r="S23" s="149">
        <v>9</v>
      </c>
      <c r="T23" s="107" t="str">
        <f ca="1">VLOOKUP(S23,INDIRECT($T$2),2)&amp;$L$1</f>
        <v>C3</v>
      </c>
      <c r="U23" s="107" t="str">
        <f ca="1">VLOOKUP(S23,INDIRECT($T$2),3)&amp;$L$1</f>
        <v>F3</v>
      </c>
      <c r="W23" s="144" t="str">
        <f>"A"&amp;$L$1</f>
        <v>A3</v>
      </c>
      <c r="X23" s="147" t="str">
        <f>"D"&amp;$L$1</f>
        <v>D3</v>
      </c>
      <c r="Y23" s="296">
        <v>9</v>
      </c>
      <c r="Z23" s="295" t="s">
        <v>174</v>
      </c>
      <c r="AA23" s="295" t="s">
        <v>175</v>
      </c>
      <c r="AB23" s="298">
        <v>9</v>
      </c>
      <c r="AC23" s="297" t="s">
        <v>175</v>
      </c>
      <c r="AD23" s="297" t="s">
        <v>178</v>
      </c>
    </row>
    <row r="24" spans="1:30" s="6" customFormat="1" ht="5.0999999999999996" customHeight="1" x14ac:dyDescent="0.2">
      <c r="A24" s="90"/>
      <c r="B24" s="106"/>
      <c r="C24" s="108"/>
      <c r="D24" s="292"/>
      <c r="E24" s="108"/>
      <c r="F24" s="106"/>
      <c r="G24" s="92"/>
      <c r="H24" s="94"/>
      <c r="I24" s="84"/>
      <c r="J24" s="94"/>
      <c r="K24" s="79"/>
      <c r="T24" s="108"/>
      <c r="U24" s="108"/>
      <c r="Y24" s="295"/>
      <c r="Z24" s="295"/>
      <c r="AA24" s="295"/>
      <c r="AB24" s="297"/>
      <c r="AC24" s="297"/>
      <c r="AD24" s="297"/>
    </row>
    <row r="25" spans="1:30" s="6" customFormat="1" ht="22.5" customHeight="1" x14ac:dyDescent="0.2">
      <c r="A25" s="90">
        <v>10</v>
      </c>
      <c r="B25" s="105" t="str">
        <f ca="1">T25</f>
        <v>D3</v>
      </c>
      <c r="C25" s="107" t="str">
        <f ca="1">VLOOKUP(B25,INDIRECT($R$13),2)</f>
        <v>2n4</v>
      </c>
      <c r="D25" s="291" t="s">
        <v>9</v>
      </c>
      <c r="E25" s="107" t="str">
        <f ca="1">VLOOKUP(F25,INDIRECT($R$13),2)</f>
        <v>TG8</v>
      </c>
      <c r="F25" s="105" t="str">
        <f ca="1">U25</f>
        <v>E3</v>
      </c>
      <c r="G25" s="91"/>
      <c r="H25" s="93"/>
      <c r="I25" s="84"/>
      <c r="J25" s="93"/>
      <c r="K25" s="79"/>
      <c r="Q25" s="53" t="s">
        <v>102</v>
      </c>
      <c r="R25" s="6">
        <v>7</v>
      </c>
      <c r="S25" s="6">
        <v>10</v>
      </c>
      <c r="T25" s="107" t="str">
        <f ca="1">VLOOKUP(S25,INDIRECT($T$2),2)&amp;$L$1</f>
        <v>D3</v>
      </c>
      <c r="U25" s="107" t="str">
        <f ca="1">VLOOKUP(S25,INDIRECT($T$2),3)&amp;$L$1</f>
        <v>E3</v>
      </c>
      <c r="W25" s="145" t="str">
        <f>"B"&amp;$L$1</f>
        <v>B3</v>
      </c>
      <c r="X25" s="148" t="str">
        <f>"E"&amp;$L$1</f>
        <v>E3</v>
      </c>
      <c r="Y25" s="295">
        <v>10</v>
      </c>
      <c r="Z25" s="295" t="s">
        <v>177</v>
      </c>
      <c r="AA25" s="295" t="s">
        <v>180</v>
      </c>
      <c r="AB25" s="297">
        <v>10</v>
      </c>
      <c r="AC25" s="297" t="s">
        <v>176</v>
      </c>
      <c r="AD25" s="297" t="s">
        <v>177</v>
      </c>
    </row>
    <row r="26" spans="1:30" s="6" customFormat="1" ht="5.0999999999999996" customHeight="1" x14ac:dyDescent="0.2">
      <c r="A26" s="90"/>
      <c r="B26" s="106"/>
      <c r="C26" s="108"/>
      <c r="D26" s="292"/>
      <c r="E26" s="108"/>
      <c r="F26" s="106"/>
      <c r="G26" s="92"/>
      <c r="H26" s="94"/>
      <c r="I26" s="84"/>
      <c r="J26" s="94"/>
      <c r="K26" s="79"/>
      <c r="T26" s="108"/>
      <c r="U26" s="108"/>
      <c r="Y26" s="295"/>
      <c r="Z26" s="295"/>
      <c r="AA26" s="295"/>
      <c r="AB26" s="297"/>
      <c r="AC26" s="297"/>
      <c r="AD26" s="297"/>
    </row>
    <row r="27" spans="1:30" s="6" customFormat="1" ht="22.5" customHeight="1" x14ac:dyDescent="0.2">
      <c r="A27" s="90">
        <v>11</v>
      </c>
      <c r="B27" s="105" t="str">
        <f ca="1">T27</f>
        <v>A3</v>
      </c>
      <c r="C27" s="107" t="str">
        <f ca="1">IF(B27=0,"",VLOOKUP(B27,INDIRECT($R$13),2))</f>
        <v>TG7</v>
      </c>
      <c r="D27" s="291" t="s">
        <v>9</v>
      </c>
      <c r="E27" s="107" t="str">
        <f ca="1">IF(F27=0,"",VLOOKUP(F27,INDIRECT($R$13),2))</f>
        <v>1G7</v>
      </c>
      <c r="F27" s="105" t="str">
        <f ca="1">U27</f>
        <v>C3</v>
      </c>
      <c r="G27" s="91"/>
      <c r="H27" s="93"/>
      <c r="I27" s="84"/>
      <c r="J27" s="93"/>
      <c r="K27" s="79"/>
      <c r="S27" s="6">
        <v>11</v>
      </c>
      <c r="T27" s="107" t="str">
        <f ca="1">VLOOKUP(S27,INDIRECT($T$2),2)&amp;$L$1</f>
        <v>A3</v>
      </c>
      <c r="U27" s="107" t="str">
        <f ca="1">VLOOKUP(S27,INDIRECT($T$2),3)&amp;$L$1</f>
        <v>C3</v>
      </c>
      <c r="Y27" s="295">
        <v>11</v>
      </c>
      <c r="Z27" s="295" t="s">
        <v>178</v>
      </c>
      <c r="AA27" s="295" t="s">
        <v>173</v>
      </c>
      <c r="AB27" s="297">
        <v>11</v>
      </c>
      <c r="AC27" s="297" t="s">
        <v>173</v>
      </c>
      <c r="AD27" s="297" t="s">
        <v>175</v>
      </c>
    </row>
    <row r="28" spans="1:30" s="6" customFormat="1" ht="5.0999999999999996" customHeight="1" x14ac:dyDescent="0.2">
      <c r="A28" s="90"/>
      <c r="B28" s="106"/>
      <c r="C28" s="108"/>
      <c r="D28" s="292"/>
      <c r="E28" s="108"/>
      <c r="F28" s="106"/>
      <c r="G28" s="92"/>
      <c r="H28" s="94"/>
      <c r="I28" s="84"/>
      <c r="J28" s="94"/>
      <c r="K28" s="79"/>
      <c r="T28" s="108"/>
      <c r="U28" s="108"/>
      <c r="Y28" s="295"/>
      <c r="Z28" s="295"/>
      <c r="AA28" s="295"/>
      <c r="AB28" s="297"/>
      <c r="AC28" s="297"/>
      <c r="AD28" s="297"/>
    </row>
    <row r="29" spans="1:30" s="6" customFormat="1" ht="22.5" customHeight="1" x14ac:dyDescent="0.2">
      <c r="A29" s="90">
        <v>12</v>
      </c>
      <c r="B29" s="105" t="str">
        <f ca="1">T29</f>
        <v>B3</v>
      </c>
      <c r="C29" s="107" t="str">
        <f ca="1">IF(B29=0,"",VLOOKUP(B29,INDIRECT($R$13),2))</f>
        <v>2n5</v>
      </c>
      <c r="D29" s="291" t="s">
        <v>9</v>
      </c>
      <c r="E29" s="107" t="str">
        <f ca="1">IF(F29=0,"",VLOOKUP(F29,INDIRECT($R$13),2))</f>
        <v>1AGORA</v>
      </c>
      <c r="F29" s="105" t="str">
        <f ca="1">U29</f>
        <v>F3</v>
      </c>
      <c r="G29" s="91"/>
      <c r="H29" s="93"/>
      <c r="I29" s="84"/>
      <c r="J29" s="93"/>
      <c r="K29" s="79"/>
      <c r="S29" s="6">
        <v>12</v>
      </c>
      <c r="T29" s="107" t="str">
        <f ca="1">VLOOKUP(S29,INDIRECT($T$2),2)&amp;$L$1</f>
        <v>B3</v>
      </c>
      <c r="U29" s="107" t="str">
        <f ca="1">VLOOKUP(S29,INDIRECT($T$2),3)&amp;$L$1</f>
        <v>F3</v>
      </c>
      <c r="Y29" s="295">
        <v>12</v>
      </c>
      <c r="Z29" s="295" t="s">
        <v>174</v>
      </c>
      <c r="AA29" s="295" t="s">
        <v>180</v>
      </c>
      <c r="AB29" s="297">
        <v>12</v>
      </c>
      <c r="AC29" s="297" t="s">
        <v>174</v>
      </c>
      <c r="AD29" s="297" t="s">
        <v>178</v>
      </c>
    </row>
    <row r="30" spans="1:30" s="6" customFormat="1" ht="5.0999999999999996" customHeight="1" x14ac:dyDescent="0.2">
      <c r="A30" s="90"/>
      <c r="B30" s="106"/>
      <c r="C30" s="108"/>
      <c r="D30" s="292"/>
      <c r="E30" s="108"/>
      <c r="F30" s="106"/>
      <c r="G30" s="92"/>
      <c r="H30" s="94"/>
      <c r="I30" s="84"/>
      <c r="J30" s="94"/>
      <c r="K30" s="79"/>
      <c r="T30" s="108"/>
      <c r="U30" s="108"/>
      <c r="Y30" s="295"/>
      <c r="Z30" s="295"/>
      <c r="AA30" s="295"/>
      <c r="AB30" s="297"/>
      <c r="AC30" s="297"/>
      <c r="AD30" s="297"/>
    </row>
    <row r="31" spans="1:30" s="6" customFormat="1" ht="22.5" customHeight="1" x14ac:dyDescent="0.2">
      <c r="A31" s="90">
        <v>13</v>
      </c>
      <c r="B31" s="105" t="str">
        <f ca="1">T31</f>
        <v>A3</v>
      </c>
      <c r="C31" s="107" t="str">
        <f ca="1">IF(B31=0,"",VLOOKUP(B31,INDIRECT($R$13),2))</f>
        <v>TG7</v>
      </c>
      <c r="D31" s="291" t="s">
        <v>9</v>
      </c>
      <c r="E31" s="107" t="str">
        <f ca="1">IF(F31=0,"",VLOOKUP(F31,INDIRECT($R$13),2))</f>
        <v>TG8</v>
      </c>
      <c r="F31" s="105" t="str">
        <f ca="1">U31</f>
        <v>E3</v>
      </c>
      <c r="G31" s="91"/>
      <c r="H31" s="93"/>
      <c r="I31" s="84"/>
      <c r="J31" s="93"/>
      <c r="K31" s="79"/>
      <c r="S31" s="6">
        <v>13</v>
      </c>
      <c r="T31" s="107" t="str">
        <f ca="1">VLOOKUP(S31,INDIRECT($T$2),2)&amp;$L$1</f>
        <v>A3</v>
      </c>
      <c r="U31" s="107" t="str">
        <f ca="1">VLOOKUP(S31,INDIRECT($T$2),3)&amp;$L$1</f>
        <v>E3</v>
      </c>
      <c r="Y31" s="295">
        <v>13</v>
      </c>
      <c r="Z31" s="295" t="s">
        <v>175</v>
      </c>
      <c r="AA31" s="295" t="s">
        <v>178</v>
      </c>
      <c r="AB31" s="297">
        <v>13</v>
      </c>
      <c r="AC31" s="297" t="s">
        <v>173</v>
      </c>
      <c r="AD31" s="297" t="s">
        <v>177</v>
      </c>
    </row>
    <row r="32" spans="1:30" s="6" customFormat="1" ht="5.0999999999999996" customHeight="1" x14ac:dyDescent="0.2">
      <c r="A32" s="90"/>
      <c r="B32" s="106"/>
      <c r="C32" s="108"/>
      <c r="D32" s="292"/>
      <c r="E32" s="108"/>
      <c r="F32" s="106"/>
      <c r="G32" s="92"/>
      <c r="H32" s="94"/>
      <c r="I32" s="84"/>
      <c r="J32" s="94"/>
      <c r="K32" s="79"/>
      <c r="T32" s="108"/>
      <c r="U32" s="108"/>
      <c r="Y32" s="295"/>
      <c r="Z32" s="295"/>
      <c r="AA32" s="295"/>
      <c r="AB32" s="297"/>
      <c r="AC32" s="297"/>
      <c r="AD32" s="297"/>
    </row>
    <row r="33" spans="1:30" s="6" customFormat="1" ht="22.5" customHeight="1" x14ac:dyDescent="0.2">
      <c r="A33" s="90">
        <v>14</v>
      </c>
      <c r="B33" s="105" t="str">
        <f ca="1">T33</f>
        <v>D3</v>
      </c>
      <c r="C33" s="107" t="str">
        <f ca="1">IF(B33=0,"",VLOOKUP(B33,INDIRECT($R$13),2))</f>
        <v>2n4</v>
      </c>
      <c r="D33" s="291" t="s">
        <v>9</v>
      </c>
      <c r="E33" s="107" t="str">
        <f ca="1">IF(F33=0,"",VLOOKUP(F33,INDIRECT($R$13),2))</f>
        <v>1AGORA</v>
      </c>
      <c r="F33" s="105" t="str">
        <f ca="1">U33</f>
        <v>F3</v>
      </c>
      <c r="G33" s="91"/>
      <c r="H33" s="93"/>
      <c r="I33" s="84"/>
      <c r="J33" s="93"/>
      <c r="K33" s="79"/>
      <c r="S33" s="6">
        <v>14</v>
      </c>
      <c r="T33" s="107" t="str">
        <f ca="1">VLOOKUP(S33,INDIRECT($T$2),2)&amp;$L$1</f>
        <v>D3</v>
      </c>
      <c r="U33" s="107" t="str">
        <f ca="1">VLOOKUP(S33,INDIRECT($T$2),3)&amp;$L$1</f>
        <v>F3</v>
      </c>
      <c r="Y33" s="295">
        <v>14</v>
      </c>
      <c r="Z33" s="295" t="s">
        <v>176</v>
      </c>
      <c r="AA33" s="295" t="s">
        <v>177</v>
      </c>
      <c r="AB33" s="297">
        <v>14</v>
      </c>
      <c r="AC33" s="297" t="s">
        <v>176</v>
      </c>
      <c r="AD33" s="297" t="s">
        <v>178</v>
      </c>
    </row>
    <row r="34" spans="1:30" s="6" customFormat="1" ht="5.0999999999999996" customHeight="1" x14ac:dyDescent="0.2">
      <c r="A34" s="90"/>
      <c r="B34" s="106"/>
      <c r="C34" s="108"/>
      <c r="D34" s="292"/>
      <c r="E34" s="108"/>
      <c r="F34" s="106"/>
      <c r="G34" s="92"/>
      <c r="H34" s="94"/>
      <c r="I34" s="84"/>
      <c r="J34" s="94"/>
      <c r="K34" s="79"/>
      <c r="T34" s="108"/>
      <c r="U34" s="108"/>
      <c r="Y34" s="295"/>
      <c r="Z34" s="295"/>
      <c r="AA34" s="295"/>
      <c r="AB34" s="297"/>
      <c r="AC34" s="297"/>
      <c r="AD34" s="297"/>
    </row>
    <row r="35" spans="1:30" s="6" customFormat="1" ht="22.5" customHeight="1" x14ac:dyDescent="0.2">
      <c r="A35" s="90">
        <v>15</v>
      </c>
      <c r="B35" s="105" t="str">
        <f ca="1">T35</f>
        <v>B3</v>
      </c>
      <c r="C35" s="107" t="str">
        <f ca="1">IF(B35=0,"",VLOOKUP(B35,INDIRECT($R$13),2))</f>
        <v>2n5</v>
      </c>
      <c r="D35" s="291" t="s">
        <v>9</v>
      </c>
      <c r="E35" s="107" t="str">
        <f ca="1">IF(F35=0,"",VLOOKUP(F35,INDIRECT($R$13),2))</f>
        <v>TG8</v>
      </c>
      <c r="F35" s="105" t="str">
        <f ca="1">U35</f>
        <v>E3</v>
      </c>
      <c r="G35" s="91"/>
      <c r="H35" s="93"/>
      <c r="I35" s="84"/>
      <c r="J35" s="93"/>
      <c r="K35" s="79"/>
      <c r="S35" s="6">
        <v>15</v>
      </c>
      <c r="T35" s="107" t="str">
        <f ca="1">VLOOKUP(S35,INDIRECT($T$2),2)&amp;$L$1</f>
        <v>B3</v>
      </c>
      <c r="U35" s="107" t="str">
        <f ca="1">VLOOKUP(S35,INDIRECT($T$2),3)&amp;$L$1</f>
        <v>E3</v>
      </c>
      <c r="Y35" s="295">
        <v>15</v>
      </c>
      <c r="Z35" s="295" t="s">
        <v>173</v>
      </c>
      <c r="AA35" s="295" t="s">
        <v>175</v>
      </c>
      <c r="AB35" s="297">
        <v>15</v>
      </c>
      <c r="AC35" s="297" t="s">
        <v>174</v>
      </c>
      <c r="AD35" s="297" t="s">
        <v>177</v>
      </c>
    </row>
    <row r="36" spans="1:30" ht="5.0999999999999996" customHeight="1" x14ac:dyDescent="0.25">
      <c r="B36" s="121"/>
      <c r="C36" s="123"/>
      <c r="D36" s="143"/>
      <c r="E36" s="123"/>
      <c r="F36" s="121"/>
      <c r="Y36" s="295"/>
      <c r="Z36" s="295"/>
      <c r="AA36" s="295"/>
    </row>
    <row r="37" spans="1:30" ht="22.5" customHeight="1" x14ac:dyDescent="0.2">
      <c r="A37" s="90">
        <v>16</v>
      </c>
      <c r="B37" s="105" t="str">
        <f ca="1">T37</f>
        <v/>
      </c>
      <c r="C37" s="107" t="str">
        <f ca="1">IF(B37="","",VLOOKUP(B37,INDIRECT($R$13),2))</f>
        <v/>
      </c>
      <c r="D37" s="291" t="s">
        <v>9</v>
      </c>
      <c r="E37" s="107" t="str">
        <f ca="1">IF(F37="","",VLOOKUP(F37,INDIRECT($R$13),2))</f>
        <v/>
      </c>
      <c r="F37" s="105" t="str">
        <f ca="1">U37</f>
        <v/>
      </c>
      <c r="G37" s="91"/>
      <c r="H37" s="93"/>
      <c r="I37" s="84"/>
      <c r="J37" s="93"/>
      <c r="Q37" s="230"/>
      <c r="R37" s="6"/>
      <c r="S37" s="6" t="str">
        <f ca="1">IF(T1=6,"",16)</f>
        <v/>
      </c>
      <c r="T37" s="107" t="str">
        <f ca="1">IF(S37="","",VLOOKUP(S37,INDIRECT($T$2),2)&amp;$L$1)</f>
        <v/>
      </c>
      <c r="U37" s="107" t="str">
        <f ca="1">IF(S37="","",VLOOKUP(S37,INDIRECT($T$2),3)&amp;$L$1)</f>
        <v/>
      </c>
      <c r="Y37" s="295">
        <v>16</v>
      </c>
      <c r="Z37" s="295" t="s">
        <v>174</v>
      </c>
      <c r="AA37" s="295" t="s">
        <v>178</v>
      </c>
      <c r="AC37" s="6">
        <v>0</v>
      </c>
      <c r="AD37" s="6">
        <v>0</v>
      </c>
    </row>
    <row r="38" spans="1:30" ht="5.0999999999999996" customHeight="1" x14ac:dyDescent="0.2">
      <c r="A38" s="90"/>
      <c r="B38" s="90"/>
      <c r="C38" s="378"/>
      <c r="D38" s="133"/>
      <c r="E38" s="378"/>
      <c r="F38" s="90"/>
      <c r="G38" s="92"/>
      <c r="H38" s="289"/>
      <c r="I38" s="84"/>
      <c r="J38" s="289"/>
      <c r="Q38" s="6"/>
      <c r="R38" s="6"/>
      <c r="S38" s="6"/>
      <c r="T38" s="107"/>
      <c r="U38" s="107"/>
      <c r="Y38" s="295"/>
      <c r="Z38" s="295"/>
      <c r="AA38" s="295"/>
    </row>
    <row r="39" spans="1:30" ht="22.5" customHeight="1" x14ac:dyDescent="0.2">
      <c r="A39" s="90">
        <v>17</v>
      </c>
      <c r="B39" s="105" t="str">
        <f ca="1">T39</f>
        <v/>
      </c>
      <c r="C39" s="107" t="str">
        <f ca="1">IF(B39="","",VLOOKUP(B39,INDIRECT($R$13),2))</f>
        <v/>
      </c>
      <c r="D39" s="291" t="s">
        <v>9</v>
      </c>
      <c r="E39" s="107" t="str">
        <f ca="1">IF(F39="","",VLOOKUP(F39,INDIRECT($R$13),2))</f>
        <v/>
      </c>
      <c r="F39" s="105" t="str">
        <f ca="1">U39</f>
        <v/>
      </c>
      <c r="G39" s="91"/>
      <c r="H39" s="93"/>
      <c r="I39" s="84"/>
      <c r="J39" s="93"/>
      <c r="Q39" s="6"/>
      <c r="R39" s="6"/>
      <c r="S39" s="6" t="str">
        <f ca="1">IF($T$1=6,"",17)</f>
        <v/>
      </c>
      <c r="T39" s="107" t="str">
        <f ca="1">IF(S39="","",VLOOKUP(S39,INDIRECT($T$2),2)&amp;$L$1)</f>
        <v/>
      </c>
      <c r="U39" s="107" t="str">
        <f ca="1">IF(S39="","",VLOOKUP(S39,INDIRECT($T$2),3)&amp;$L$1)</f>
        <v/>
      </c>
      <c r="Y39" s="295">
        <v>17</v>
      </c>
      <c r="Z39" s="295" t="s">
        <v>176</v>
      </c>
      <c r="AA39" s="295" t="s">
        <v>180</v>
      </c>
      <c r="AC39" s="6">
        <v>0</v>
      </c>
      <c r="AD39" s="6">
        <v>0</v>
      </c>
    </row>
    <row r="40" spans="1:30" ht="5.0999999999999996" customHeight="1" x14ac:dyDescent="0.25">
      <c r="B40" s="121"/>
      <c r="C40" s="123"/>
      <c r="D40" s="143"/>
      <c r="E40" s="123"/>
      <c r="F40" s="121"/>
      <c r="Q40" s="6"/>
      <c r="R40" s="6"/>
      <c r="S40" s="6"/>
      <c r="Y40" s="295"/>
      <c r="Z40" s="295"/>
      <c r="AA40" s="295"/>
    </row>
    <row r="41" spans="1:30" ht="22.5" customHeight="1" x14ac:dyDescent="0.2">
      <c r="A41" s="90">
        <v>18</v>
      </c>
      <c r="B41" s="105" t="str">
        <f ca="1">T41</f>
        <v/>
      </c>
      <c r="C41" s="107" t="str">
        <f ca="1">IF(B41="","",VLOOKUP(B41,INDIRECT($R$13),2))</f>
        <v/>
      </c>
      <c r="D41" s="291" t="s">
        <v>9</v>
      </c>
      <c r="E41" s="107" t="str">
        <f ca="1">IF(F41="","",VLOOKUP(F41,INDIRECT($R$13),2))</f>
        <v/>
      </c>
      <c r="F41" s="105" t="str">
        <f ca="1">U41</f>
        <v/>
      </c>
      <c r="G41" s="91"/>
      <c r="H41" s="93"/>
      <c r="I41" s="84"/>
      <c r="J41" s="93"/>
      <c r="Q41" s="149"/>
      <c r="R41" s="149"/>
      <c r="S41" s="6" t="str">
        <f ca="1">IF($T$1=6,"",18)</f>
        <v/>
      </c>
      <c r="T41" s="107" t="str">
        <f ca="1">IF(S41="","",VLOOKUP(S41,INDIRECT($T$2),2)&amp;$L$1)</f>
        <v/>
      </c>
      <c r="U41" s="107" t="str">
        <f ca="1">IF(S41="","",VLOOKUP(S41,INDIRECT($T$2),3)&amp;$L$1)</f>
        <v/>
      </c>
      <c r="Y41" s="295">
        <v>18</v>
      </c>
      <c r="Z41" s="295" t="s">
        <v>173</v>
      </c>
      <c r="AA41" s="295" t="s">
        <v>177</v>
      </c>
      <c r="AC41" s="6">
        <v>0</v>
      </c>
      <c r="AD41" s="6">
        <v>0</v>
      </c>
    </row>
    <row r="42" spans="1:30" ht="5.0999999999999996" customHeight="1" x14ac:dyDescent="0.25">
      <c r="B42" s="121"/>
      <c r="C42" s="123"/>
      <c r="D42" s="143"/>
      <c r="E42" s="123"/>
      <c r="F42" s="121"/>
      <c r="Q42" s="6"/>
      <c r="R42" s="6"/>
      <c r="S42" s="6"/>
      <c r="Y42" s="295"/>
      <c r="Z42" s="295"/>
      <c r="AA42" s="295"/>
    </row>
    <row r="43" spans="1:30" ht="22.5" customHeight="1" x14ac:dyDescent="0.2">
      <c r="A43" s="90">
        <v>19</v>
      </c>
      <c r="B43" s="105" t="str">
        <f ca="1">T43</f>
        <v/>
      </c>
      <c r="C43" s="107" t="str">
        <f ca="1">IF(B43="","",VLOOKUP(B43,INDIRECT($R$13),2))</f>
        <v/>
      </c>
      <c r="D43" s="291" t="s">
        <v>9</v>
      </c>
      <c r="E43" s="107" t="str">
        <f ca="1">IF(F43="","",VLOOKUP(F43,INDIRECT($R$13),2))</f>
        <v/>
      </c>
      <c r="F43" s="105" t="str">
        <f ca="1">U43</f>
        <v/>
      </c>
      <c r="G43" s="91"/>
      <c r="H43" s="93"/>
      <c r="I43" s="84"/>
      <c r="J43" s="93"/>
      <c r="Q43" s="6"/>
      <c r="R43" s="6"/>
      <c r="S43" s="6" t="str">
        <f ca="1">IF($T$1=6,"",19)</f>
        <v/>
      </c>
      <c r="T43" s="107" t="str">
        <f ca="1">IF(S43="","",VLOOKUP(S43,INDIRECT($T$2),2)&amp;$L$1)</f>
        <v/>
      </c>
      <c r="U43" s="107" t="str">
        <f ca="1">IF(S43="","",VLOOKUP(S43,INDIRECT($T$2),3)&amp;$L$1)</f>
        <v/>
      </c>
      <c r="Y43" s="295">
        <v>19</v>
      </c>
      <c r="Z43" s="295" t="s">
        <v>180</v>
      </c>
      <c r="AA43" s="295" t="s">
        <v>175</v>
      </c>
      <c r="AC43" s="6">
        <v>0</v>
      </c>
      <c r="AD43" s="6">
        <v>0</v>
      </c>
    </row>
    <row r="44" spans="1:30" ht="5.0999999999999996" customHeight="1" x14ac:dyDescent="0.25">
      <c r="B44" s="121"/>
      <c r="C44" s="123"/>
      <c r="D44" s="143"/>
      <c r="E44" s="123"/>
      <c r="F44" s="121"/>
      <c r="S44" s="6"/>
      <c r="Y44" s="295"/>
      <c r="Z44" s="295"/>
      <c r="AA44" s="295"/>
    </row>
    <row r="45" spans="1:30" ht="22.5" customHeight="1" x14ac:dyDescent="0.2">
      <c r="A45" s="90">
        <v>20</v>
      </c>
      <c r="B45" s="105" t="str">
        <f ca="1">T45</f>
        <v/>
      </c>
      <c r="C45" s="107" t="str">
        <f ca="1">IF(B45="","",VLOOKUP(B45,INDIRECT($R$13),2))</f>
        <v/>
      </c>
      <c r="D45" s="291" t="s">
        <v>9</v>
      </c>
      <c r="E45" s="107" t="str">
        <f ca="1">IF(F45="","",VLOOKUP(F45,INDIRECT($R$13),2))</f>
        <v/>
      </c>
      <c r="F45" s="105" t="str">
        <f ca="1">U45</f>
        <v/>
      </c>
      <c r="G45" s="91"/>
      <c r="H45" s="93"/>
      <c r="I45" s="84"/>
      <c r="J45" s="93"/>
      <c r="S45" s="6" t="str">
        <f ca="1">IF($T$1=6,"",20)</f>
        <v/>
      </c>
      <c r="T45" s="107" t="str">
        <f ca="1">IF(S45="","",VLOOKUP(S45,INDIRECT($T$2),2)&amp;$L$1)</f>
        <v/>
      </c>
      <c r="U45" s="107" t="str">
        <f ca="1">IF(S45="","",VLOOKUP(S45,INDIRECT($T$2),3)&amp;$L$1)</f>
        <v/>
      </c>
      <c r="Y45" s="295">
        <v>20</v>
      </c>
      <c r="Z45" s="295" t="s">
        <v>176</v>
      </c>
      <c r="AA45" s="295" t="s">
        <v>178</v>
      </c>
      <c r="AC45" s="6">
        <v>0</v>
      </c>
      <c r="AD45" s="6">
        <v>0</v>
      </c>
    </row>
    <row r="46" spans="1:30" ht="5.0999999999999996" customHeight="1" x14ac:dyDescent="0.25">
      <c r="B46" s="121"/>
      <c r="C46" s="123"/>
      <c r="D46" s="143"/>
      <c r="E46" s="123"/>
      <c r="F46" s="121"/>
      <c r="S46" s="6"/>
      <c r="Y46" s="295"/>
      <c r="Z46" s="295"/>
      <c r="AA46" s="295"/>
    </row>
    <row r="47" spans="1:30" ht="22.5" customHeight="1" x14ac:dyDescent="0.2">
      <c r="A47" s="90">
        <v>21</v>
      </c>
      <c r="B47" s="105" t="str">
        <f ca="1">T47</f>
        <v/>
      </c>
      <c r="C47" s="107" t="str">
        <f ca="1">IF(B47="","",VLOOKUP(B47,INDIRECT($R$13),2))</f>
        <v/>
      </c>
      <c r="D47" s="291" t="s">
        <v>9</v>
      </c>
      <c r="E47" s="107" t="str">
        <f ca="1">IF(F47="","",VLOOKUP(F47,INDIRECT($R$13),2))</f>
        <v/>
      </c>
      <c r="F47" s="105" t="str">
        <f ca="1">U47</f>
        <v/>
      </c>
      <c r="G47" s="91"/>
      <c r="H47" s="93"/>
      <c r="I47" s="84"/>
      <c r="J47" s="93"/>
      <c r="S47" s="6" t="str">
        <f ca="1">IF($T$1=6,"",21)</f>
        <v/>
      </c>
      <c r="T47" s="107" t="str">
        <f ca="1">IF(S47="","",VLOOKUP(S47,INDIRECT($T$2),2)&amp;$L$1)</f>
        <v/>
      </c>
      <c r="U47" s="107" t="str">
        <f ca="1">IF(S47="","",VLOOKUP(S47,INDIRECT($T$2),3)&amp;$L$1)</f>
        <v/>
      </c>
      <c r="Y47" s="295">
        <v>21</v>
      </c>
      <c r="Z47" s="295" t="s">
        <v>174</v>
      </c>
      <c r="AA47" s="295" t="s">
        <v>177</v>
      </c>
      <c r="AC47" s="6">
        <v>0</v>
      </c>
      <c r="AD47" s="6">
        <v>0</v>
      </c>
    </row>
    <row r="48" spans="1:30" ht="3" customHeight="1" x14ac:dyDescent="0.2">
      <c r="S48" s="1"/>
    </row>
    <row r="49" spans="1:30" ht="22.5" customHeight="1" x14ac:dyDescent="0.2">
      <c r="U49" s="225" t="s">
        <v>134</v>
      </c>
      <c r="V49" s="53"/>
    </row>
    <row r="50" spans="1:30" ht="5.0999999999999996" customHeight="1" x14ac:dyDescent="0.2"/>
    <row r="51" spans="1:30" x14ac:dyDescent="0.2">
      <c r="C51" s="280" t="s">
        <v>114</v>
      </c>
      <c r="D51" s="1"/>
      <c r="E51" s="280" t="s">
        <v>115</v>
      </c>
      <c r="F51" s="280" t="s">
        <v>116</v>
      </c>
      <c r="G51" s="1"/>
      <c r="H51" s="280" t="s">
        <v>182</v>
      </c>
      <c r="I51" s="1"/>
      <c r="J51" s="280" t="s">
        <v>183</v>
      </c>
      <c r="K51" s="1"/>
      <c r="L51" s="280" t="s">
        <v>184</v>
      </c>
      <c r="N51" s="101" t="s">
        <v>65</v>
      </c>
    </row>
    <row r="52" spans="1:30" x14ac:dyDescent="0.2">
      <c r="A52" t="str">
        <f>"A"&amp;L1</f>
        <v>A3</v>
      </c>
      <c r="B52" s="186" t="str">
        <f ca="1">VLOOKUP(A52,INDIRECT($R$13),2)</f>
        <v>TG7</v>
      </c>
      <c r="C52" s="323"/>
      <c r="D52" s="1"/>
      <c r="E52" s="323"/>
      <c r="F52" s="324"/>
      <c r="G52" s="1"/>
      <c r="H52" s="323"/>
      <c r="I52" s="1"/>
      <c r="J52" s="323"/>
      <c r="K52" s="1"/>
      <c r="L52" s="323"/>
      <c r="N52" s="325"/>
      <c r="X52" s="6"/>
      <c r="Y52" s="6"/>
      <c r="AC52"/>
      <c r="AD52"/>
    </row>
    <row r="53" spans="1:30" x14ac:dyDescent="0.2">
      <c r="A53"/>
      <c r="B53" s="186"/>
      <c r="C53" s="1"/>
      <c r="D53" s="1"/>
      <c r="E53" s="1"/>
      <c r="F53" s="1"/>
      <c r="G53" s="1"/>
      <c r="H53" s="1"/>
      <c r="I53" s="1"/>
      <c r="J53" s="1"/>
      <c r="K53" s="1"/>
      <c r="L53" s="1"/>
      <c r="N53" s="101"/>
      <c r="X53" s="6"/>
      <c r="Y53" s="6"/>
      <c r="AC53"/>
      <c r="AD53"/>
    </row>
    <row r="54" spans="1:30" x14ac:dyDescent="0.2">
      <c r="A54" t="str">
        <f>"B"&amp;L1</f>
        <v>B3</v>
      </c>
      <c r="B54" s="186" t="str">
        <f ca="1">VLOOKUP(A54,INDIRECT($R$13),2)</f>
        <v>2n5</v>
      </c>
      <c r="C54" s="323"/>
      <c r="D54" s="1"/>
      <c r="E54" s="323"/>
      <c r="F54" s="324"/>
      <c r="G54" s="1"/>
      <c r="H54" s="323"/>
      <c r="I54" s="1"/>
      <c r="J54" s="323"/>
      <c r="K54" s="1"/>
      <c r="L54" s="323"/>
      <c r="N54" s="325"/>
      <c r="X54" s="6"/>
      <c r="Y54" s="6"/>
      <c r="AC54"/>
      <c r="AD54"/>
    </row>
    <row r="55" spans="1:30" x14ac:dyDescent="0.2">
      <c r="A55"/>
      <c r="B55" s="186"/>
      <c r="C55" s="1"/>
      <c r="D55" s="1"/>
      <c r="E55" s="1"/>
      <c r="F55" s="1"/>
      <c r="G55" s="1"/>
      <c r="H55" s="1"/>
      <c r="I55" s="1"/>
      <c r="J55" s="1"/>
      <c r="K55" s="1"/>
      <c r="L55" s="1"/>
      <c r="N55" s="101"/>
      <c r="X55" s="6"/>
      <c r="Y55" s="6"/>
      <c r="AC55"/>
      <c r="AD55"/>
    </row>
    <row r="56" spans="1:30" x14ac:dyDescent="0.2">
      <c r="A56" t="str">
        <f>"C"&amp;L1</f>
        <v>C3</v>
      </c>
      <c r="B56" s="186" t="str">
        <f ca="1">VLOOKUP(A56,INDIRECT($R$13),2)</f>
        <v>1G7</v>
      </c>
      <c r="C56" s="323"/>
      <c r="D56" s="1"/>
      <c r="E56" s="323"/>
      <c r="F56" s="324"/>
      <c r="G56" s="1"/>
      <c r="H56" s="323"/>
      <c r="I56" s="1"/>
      <c r="J56" s="323"/>
      <c r="K56" s="1"/>
      <c r="L56" s="323"/>
      <c r="N56" s="325"/>
      <c r="X56" s="6"/>
      <c r="Y56" s="6"/>
      <c r="AC56"/>
      <c r="AD56"/>
    </row>
    <row r="57" spans="1:30" x14ac:dyDescent="0.2">
      <c r="A57"/>
      <c r="B57" s="186"/>
      <c r="C57" s="1"/>
      <c r="D57" s="1"/>
      <c r="E57" s="1"/>
      <c r="F57" s="1"/>
      <c r="G57" s="1"/>
      <c r="H57" s="1"/>
      <c r="I57" s="1"/>
      <c r="J57" s="1"/>
      <c r="K57" s="1"/>
      <c r="L57" s="1"/>
      <c r="N57" s="101"/>
      <c r="X57" s="6"/>
      <c r="Y57" s="6"/>
      <c r="AC57"/>
      <c r="AD57"/>
    </row>
    <row r="58" spans="1:30" x14ac:dyDescent="0.2">
      <c r="A58" t="str">
        <f>"D"&amp;L1</f>
        <v>D3</v>
      </c>
      <c r="B58" s="186" t="str">
        <f ca="1">VLOOKUP(A58,INDIRECT($R$13),2)</f>
        <v>2n4</v>
      </c>
      <c r="C58" s="323"/>
      <c r="D58" s="1"/>
      <c r="E58" s="323"/>
      <c r="F58" s="324"/>
      <c r="G58" s="1"/>
      <c r="H58" s="323"/>
      <c r="I58" s="1"/>
      <c r="J58" s="323"/>
      <c r="K58" s="1"/>
      <c r="L58" s="323"/>
      <c r="N58" s="325"/>
      <c r="X58" s="6"/>
      <c r="Y58" s="6"/>
      <c r="AC58"/>
      <c r="AD58"/>
    </row>
    <row r="59" spans="1:30" x14ac:dyDescent="0.2">
      <c r="A59"/>
      <c r="B59" s="186"/>
      <c r="C59" s="1"/>
      <c r="D59" s="1"/>
      <c r="E59" s="1"/>
      <c r="F59" s="1"/>
      <c r="G59" s="1"/>
      <c r="H59" s="1"/>
      <c r="I59" s="1"/>
      <c r="J59" s="1"/>
      <c r="K59" s="1"/>
      <c r="L59" s="1"/>
      <c r="N59" s="101"/>
      <c r="X59" s="6"/>
      <c r="Y59" s="6"/>
      <c r="AC59"/>
      <c r="AD59"/>
    </row>
    <row r="60" spans="1:30" x14ac:dyDescent="0.2">
      <c r="A60" t="str">
        <f>"E"&amp;L1</f>
        <v>E3</v>
      </c>
      <c r="B60" s="186" t="str">
        <f ca="1">VLOOKUP(A60,INDIRECT($R$13),2)</f>
        <v>TG8</v>
      </c>
      <c r="C60" s="323"/>
      <c r="D60" s="1"/>
      <c r="E60" s="323"/>
      <c r="F60" s="324"/>
      <c r="G60" s="1"/>
      <c r="H60" s="323"/>
      <c r="I60" s="1"/>
      <c r="J60" s="323"/>
      <c r="K60" s="1"/>
      <c r="L60" s="323"/>
      <c r="N60" s="325"/>
      <c r="X60" s="6"/>
      <c r="Y60" s="6"/>
      <c r="AC60"/>
      <c r="AD60"/>
    </row>
    <row r="61" spans="1:30" x14ac:dyDescent="0.2">
      <c r="A61"/>
      <c r="B61" s="186"/>
      <c r="C61" s="1"/>
      <c r="D61" s="1"/>
      <c r="E61" s="1"/>
      <c r="F61" s="1"/>
      <c r="G61" s="1"/>
      <c r="H61" s="1"/>
      <c r="I61" s="1"/>
      <c r="J61" s="1"/>
      <c r="K61" s="1"/>
      <c r="L61" s="1"/>
      <c r="N61" s="101"/>
      <c r="X61" s="6"/>
      <c r="Y61" s="6"/>
      <c r="AC61"/>
      <c r="AD61"/>
    </row>
    <row r="62" spans="1:30" x14ac:dyDescent="0.2">
      <c r="A62" t="str">
        <f>"F"&amp;L1</f>
        <v>F3</v>
      </c>
      <c r="B62" s="186" t="str">
        <f ca="1">VLOOKUP(A62,INDIRECT($R$13),2)</f>
        <v>1AGORA</v>
      </c>
      <c r="C62" s="323"/>
      <c r="D62" s="1"/>
      <c r="E62" s="323"/>
      <c r="F62" s="324"/>
      <c r="G62" s="1"/>
      <c r="H62" s="323"/>
      <c r="I62" s="1"/>
      <c r="J62" s="323"/>
      <c r="K62" s="1"/>
      <c r="L62" s="323"/>
      <c r="N62" s="325"/>
      <c r="X62" s="6"/>
      <c r="Y62" s="6"/>
      <c r="AC62"/>
      <c r="AD62"/>
    </row>
    <row r="63" spans="1:30" x14ac:dyDescent="0.2">
      <c r="B63" s="88"/>
      <c r="C63" s="1"/>
      <c r="D63" s="1"/>
      <c r="E63" s="1"/>
      <c r="F63" s="1"/>
      <c r="G63" s="1"/>
      <c r="H63" s="1"/>
      <c r="I63" s="1"/>
      <c r="J63" s="1"/>
      <c r="K63" s="1"/>
      <c r="L63" s="1"/>
      <c r="N63" s="325"/>
      <c r="Y63" s="6"/>
      <c r="AD63"/>
    </row>
    <row r="64" spans="1:30" x14ac:dyDescent="0.2">
      <c r="A64" t="str">
        <f>"G"&amp;L1</f>
        <v>G3</v>
      </c>
      <c r="B64" s="186" t="str">
        <f ca="1">VLOOKUP(A64,INDIRECT($R$13),2)</f>
        <v>1AGORA</v>
      </c>
      <c r="C64" s="323"/>
      <c r="D64" s="1"/>
      <c r="E64" s="323"/>
      <c r="F64" s="324"/>
      <c r="G64" s="1"/>
      <c r="H64" s="323"/>
      <c r="I64" s="1"/>
      <c r="J64" s="323"/>
      <c r="K64" s="1"/>
      <c r="L64" s="323"/>
      <c r="N64" s="325"/>
      <c r="X64" s="6"/>
      <c r="Y64" s="6"/>
      <c r="AC64"/>
      <c r="AD64"/>
    </row>
  </sheetData>
  <mergeCells count="7">
    <mergeCell ref="AB6:AD6"/>
    <mergeCell ref="Y6:AA6"/>
    <mergeCell ref="B1:J1"/>
    <mergeCell ref="B2:J2"/>
    <mergeCell ref="B3:J3"/>
    <mergeCell ref="H5:J5"/>
    <mergeCell ref="H6:J6"/>
  </mergeCells>
  <printOptions horizontalCentered="1" verticalCentered="1"/>
  <pageMargins left="0.11811023622047245" right="0.11811023622047245" top="0.35433070866141736" bottom="0.35433070866141736" header="0.31496062992125984" footer="0.31496062992125984"/>
  <pageSetup paperSize="9" scale="85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Drop Down 1">
              <controlPr defaultSize="0" print="0" autoLine="0" autoPict="0">
                <anchor moveWithCells="1">
                  <from>
                    <xdr:col>1</xdr:col>
                    <xdr:colOff>171450</xdr:colOff>
                    <xdr:row>3</xdr:row>
                    <xdr:rowOff>47625</xdr:rowOff>
                  </from>
                  <to>
                    <xdr:col>2</xdr:col>
                    <xdr:colOff>809625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Drop Down 2">
              <controlPr defaultSize="0" print="0" autoLine="0" autoPict="0">
                <anchor moveWithCells="1">
                  <from>
                    <xdr:col>1</xdr:col>
                    <xdr:colOff>171450</xdr:colOff>
                    <xdr:row>4</xdr:row>
                    <xdr:rowOff>285750</xdr:rowOff>
                  </from>
                  <to>
                    <xdr:col>2</xdr:col>
                    <xdr:colOff>790575</xdr:colOff>
                    <xdr:row>5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8"/>
  <dimension ref="A1:R48"/>
  <sheetViews>
    <sheetView showGridLines="0" topLeftCell="A7" zoomScale="80" zoomScaleNormal="80" workbookViewId="0">
      <selection activeCell="M23" sqref="M23"/>
    </sheetView>
  </sheetViews>
  <sheetFormatPr baseColWidth="10" defaultRowHeight="12.75" x14ac:dyDescent="0.2"/>
  <cols>
    <col min="1" max="1" width="3.85546875" style="80" bestFit="1" customWidth="1"/>
    <col min="2" max="2" width="4.85546875" bestFit="1" customWidth="1"/>
    <col min="3" max="3" width="16.7109375" customWidth="1"/>
    <col min="4" max="4" width="2.42578125" customWidth="1"/>
    <col min="5" max="5" width="16.7109375" customWidth="1"/>
    <col min="6" max="6" width="4.85546875" bestFit="1" customWidth="1"/>
    <col min="7" max="7" width="1.5703125" customWidth="1"/>
    <col min="8" max="8" width="8.7109375" customWidth="1"/>
    <col min="9" max="9" width="2.42578125" bestFit="1" customWidth="1"/>
    <col min="10" max="10" width="8.7109375" customWidth="1"/>
    <col min="11" max="11" width="1.85546875" customWidth="1"/>
    <col min="12" max="12" width="6.5703125" customWidth="1"/>
    <col min="13" max="13" width="2.7109375" customWidth="1"/>
    <col min="14" max="14" width="5.7109375" customWidth="1"/>
    <col min="15" max="15" width="1.7109375" customWidth="1"/>
    <col min="17" max="18" width="11.42578125" hidden="1" customWidth="1"/>
  </cols>
  <sheetData>
    <row r="1" spans="1:18" ht="23.25" x14ac:dyDescent="0.35">
      <c r="B1" s="395" t="s">
        <v>21</v>
      </c>
      <c r="C1" s="395"/>
      <c r="D1" s="395"/>
      <c r="E1" s="395"/>
      <c r="F1" s="395"/>
      <c r="G1" s="395"/>
      <c r="H1" s="395"/>
      <c r="I1" s="395"/>
      <c r="J1" s="395"/>
      <c r="K1" s="51"/>
    </row>
    <row r="2" spans="1:18" ht="23.25" x14ac:dyDescent="0.35">
      <c r="B2" s="395" t="s">
        <v>43</v>
      </c>
      <c r="C2" s="395"/>
      <c r="D2" s="395"/>
      <c r="E2" s="395"/>
      <c r="F2" s="395"/>
      <c r="G2" s="395"/>
      <c r="H2" s="395"/>
      <c r="I2" s="395"/>
      <c r="J2" s="395"/>
      <c r="K2" s="51"/>
      <c r="Q2">
        <v>1</v>
      </c>
      <c r="R2" s="88" t="s">
        <v>60</v>
      </c>
    </row>
    <row r="3" spans="1:18" ht="23.25" x14ac:dyDescent="0.35">
      <c r="B3" s="395" t="str">
        <f>"GYMNASE" &amp;" "&amp;R15</f>
        <v>GYMNASE Lycée</v>
      </c>
      <c r="C3" s="395"/>
      <c r="D3" s="395"/>
      <c r="E3" s="395"/>
      <c r="F3" s="395"/>
      <c r="G3" s="395"/>
      <c r="H3" s="395"/>
      <c r="I3" s="395"/>
      <c r="J3" s="395"/>
      <c r="K3" s="51"/>
      <c r="R3" s="88" t="s">
        <v>61</v>
      </c>
    </row>
    <row r="4" spans="1:18" ht="6.75" customHeight="1" x14ac:dyDescent="0.35">
      <c r="B4" s="51"/>
      <c r="C4" s="51"/>
      <c r="D4" s="51"/>
      <c r="E4" s="51"/>
      <c r="F4" s="51"/>
      <c r="G4" s="51"/>
      <c r="H4" s="51"/>
      <c r="I4" s="51"/>
      <c r="J4" s="51"/>
      <c r="K4" s="51"/>
    </row>
    <row r="5" spans="1:18" ht="23.25" x14ac:dyDescent="0.35">
      <c r="B5" s="89"/>
      <c r="C5" s="51"/>
      <c r="D5" s="51"/>
      <c r="E5" s="51"/>
      <c r="F5" s="51"/>
      <c r="G5" s="51"/>
      <c r="H5" s="410"/>
      <c r="I5" s="410"/>
      <c r="J5" s="410"/>
      <c r="K5" s="51"/>
    </row>
    <row r="6" spans="1:18" ht="25.5" x14ac:dyDescent="0.35">
      <c r="B6" s="53"/>
      <c r="H6" s="409" t="s">
        <v>64</v>
      </c>
      <c r="I6" s="409"/>
      <c r="J6" s="409"/>
      <c r="K6" s="78"/>
      <c r="Q6">
        <v>1</v>
      </c>
      <c r="R6" s="88" t="s">
        <v>36</v>
      </c>
    </row>
    <row r="7" spans="1:18" s="6" customFormat="1" ht="30" customHeight="1" x14ac:dyDescent="0.2">
      <c r="A7" s="90">
        <v>1</v>
      </c>
      <c r="B7" s="107" t="str">
        <f>"A"&amp;$Q$6</f>
        <v>A1</v>
      </c>
      <c r="C7" s="109" t="str">
        <f ca="1">VLOOKUP(B7,INDIRECT($R$13),2)</f>
        <v>TG1</v>
      </c>
      <c r="D7" s="105" t="s">
        <v>9</v>
      </c>
      <c r="E7" s="109" t="str">
        <f ca="1">VLOOKUP(F7,INDIRECT($R$13),2)</f>
        <v>2n11</v>
      </c>
      <c r="F7" s="107" t="str">
        <f>"B"&amp;$Q$6</f>
        <v>B1</v>
      </c>
      <c r="G7" s="91"/>
      <c r="H7" s="93"/>
      <c r="I7" s="84"/>
      <c r="J7" s="93"/>
      <c r="K7" s="79"/>
      <c r="R7" s="88" t="s">
        <v>62</v>
      </c>
    </row>
    <row r="8" spans="1:18" s="6" customFormat="1" ht="3.95" customHeight="1" x14ac:dyDescent="0.2">
      <c r="A8" s="90"/>
      <c r="B8" s="108"/>
      <c r="C8" s="109"/>
      <c r="D8" s="105"/>
      <c r="E8" s="109"/>
      <c r="F8" s="108"/>
      <c r="G8" s="91"/>
      <c r="H8" s="93"/>
      <c r="I8" s="84"/>
      <c r="J8" s="93"/>
      <c r="K8" s="79"/>
      <c r="R8" s="88" t="s">
        <v>63</v>
      </c>
    </row>
    <row r="9" spans="1:18" s="6" customFormat="1" ht="30" customHeight="1" x14ac:dyDescent="0.2">
      <c r="A9" s="90">
        <v>2</v>
      </c>
      <c r="B9" s="107" t="str">
        <f>"C"&amp;$Q$6</f>
        <v>C1</v>
      </c>
      <c r="C9" s="109" t="str">
        <f t="shared" ref="C9:C35" ca="1" si="0">VLOOKUP(B9,INDIRECT($R$13),2)</f>
        <v>1G1</v>
      </c>
      <c r="D9" s="105" t="s">
        <v>9</v>
      </c>
      <c r="E9" s="109" t="str">
        <f t="shared" ref="E9:E35" ca="1" si="1">VLOOKUP(F9,INDIRECT($R$13),2)</f>
        <v>2n1</v>
      </c>
      <c r="F9" s="107" t="str">
        <f>"D"&amp;$Q$6</f>
        <v>D1</v>
      </c>
      <c r="G9" s="91"/>
      <c r="H9" s="93"/>
      <c r="I9" s="84"/>
      <c r="J9" s="93"/>
      <c r="K9" s="79"/>
      <c r="R9" s="88"/>
    </row>
    <row r="10" spans="1:18" s="6" customFormat="1" ht="3.95" customHeight="1" x14ac:dyDescent="0.2">
      <c r="A10" s="90"/>
      <c r="B10" s="108"/>
      <c r="C10" s="110"/>
      <c r="D10" s="106"/>
      <c r="E10" s="110"/>
      <c r="F10" s="108"/>
      <c r="G10" s="92"/>
      <c r="H10" s="94"/>
      <c r="I10" s="84"/>
      <c r="J10" s="94"/>
      <c r="K10" s="79"/>
    </row>
    <row r="11" spans="1:18" s="6" customFormat="1" ht="30" customHeight="1" x14ac:dyDescent="0.2">
      <c r="A11" s="90">
        <v>3</v>
      </c>
      <c r="B11" s="107" t="str">
        <f>"A"&amp;$Q$6</f>
        <v>A1</v>
      </c>
      <c r="C11" s="109" t="str">
        <f t="shared" ca="1" si="0"/>
        <v>TG1</v>
      </c>
      <c r="D11" s="105" t="s">
        <v>9</v>
      </c>
      <c r="E11" s="109" t="str">
        <f t="shared" ca="1" si="1"/>
        <v>TAGORA</v>
      </c>
      <c r="F11" s="107" t="str">
        <f>"E"&amp;$Q$6</f>
        <v>E1</v>
      </c>
      <c r="G11" s="91"/>
      <c r="H11" s="93"/>
      <c r="I11" s="84"/>
      <c r="J11" s="93"/>
      <c r="K11" s="79"/>
      <c r="R11" s="6" t="str">
        <f>IF(Q2=1,"Lyc","Tou")</f>
        <v>Lyc</v>
      </c>
    </row>
    <row r="12" spans="1:18" s="6" customFormat="1" ht="3.95" customHeight="1" x14ac:dyDescent="0.2">
      <c r="A12" s="90"/>
      <c r="B12" s="108"/>
      <c r="C12" s="110"/>
      <c r="D12" s="106"/>
      <c r="E12" s="110"/>
      <c r="F12" s="108"/>
      <c r="G12" s="92"/>
      <c r="H12" s="94"/>
      <c r="I12" s="84"/>
      <c r="J12" s="94"/>
      <c r="K12" s="79"/>
    </row>
    <row r="13" spans="1:18" s="6" customFormat="1" ht="30" customHeight="1" x14ac:dyDescent="0.2">
      <c r="A13" s="90">
        <v>4</v>
      </c>
      <c r="B13" s="107" t="str">
        <f>"B"&amp;$Q$6</f>
        <v>B1</v>
      </c>
      <c r="C13" s="109" t="str">
        <f t="shared" ca="1" si="0"/>
        <v>2n11</v>
      </c>
      <c r="D13" s="105" t="s">
        <v>9</v>
      </c>
      <c r="E13" s="109" t="str">
        <f t="shared" ca="1" si="1"/>
        <v>1G1</v>
      </c>
      <c r="F13" s="107" t="str">
        <f>"C"&amp;$Q$6</f>
        <v>C1</v>
      </c>
      <c r="G13" s="91"/>
      <c r="H13" s="93"/>
      <c r="I13" s="84"/>
      <c r="J13" s="93"/>
      <c r="K13" s="79"/>
      <c r="R13" s="6" t="str">
        <f>R11&amp;"T"&amp;Q6</f>
        <v>LycT1</v>
      </c>
    </row>
    <row r="14" spans="1:18" s="6" customFormat="1" ht="3.95" customHeight="1" x14ac:dyDescent="0.2">
      <c r="A14" s="90"/>
      <c r="B14" s="108"/>
      <c r="C14" s="110"/>
      <c r="D14" s="106"/>
      <c r="E14" s="110"/>
      <c r="F14" s="108"/>
      <c r="G14" s="92"/>
      <c r="H14" s="94"/>
      <c r="I14" s="84"/>
      <c r="J14" s="94"/>
      <c r="K14" s="79"/>
    </row>
    <row r="15" spans="1:18" s="6" customFormat="1" ht="30" customHeight="1" x14ac:dyDescent="0.2">
      <c r="A15" s="90">
        <v>5</v>
      </c>
      <c r="B15" s="107" t="str">
        <f>"D"&amp;$Q$6</f>
        <v>D1</v>
      </c>
      <c r="C15" s="109" t="str">
        <f t="shared" ca="1" si="0"/>
        <v>2n1</v>
      </c>
      <c r="D15" s="105" t="s">
        <v>9</v>
      </c>
      <c r="E15" s="109" t="str">
        <f t="shared" ca="1" si="1"/>
        <v>TAGORA</v>
      </c>
      <c r="F15" s="107" t="str">
        <f>"E"&amp;$Q$6</f>
        <v>E1</v>
      </c>
      <c r="G15" s="91"/>
      <c r="H15" s="93"/>
      <c r="I15" s="84"/>
      <c r="J15" s="93"/>
      <c r="K15" s="79"/>
      <c r="R15" s="6" t="str">
        <f>IF(Q2=1,"Lycée","Tourrier")</f>
        <v>Lycée</v>
      </c>
    </row>
    <row r="16" spans="1:18" s="6" customFormat="1" ht="3.95" customHeight="1" x14ac:dyDescent="0.2">
      <c r="A16" s="90"/>
      <c r="B16" s="108"/>
      <c r="C16" s="110"/>
      <c r="D16" s="106"/>
      <c r="E16" s="110"/>
      <c r="F16" s="108"/>
      <c r="G16" s="92"/>
      <c r="H16" s="94"/>
      <c r="I16" s="84"/>
      <c r="J16" s="94"/>
      <c r="K16" s="79"/>
    </row>
    <row r="17" spans="1:11" s="6" customFormat="1" ht="30" customHeight="1" x14ac:dyDescent="0.2">
      <c r="A17" s="90">
        <v>6</v>
      </c>
      <c r="B17" s="107" t="str">
        <f>"A"&amp;$Q$6</f>
        <v>A1</v>
      </c>
      <c r="C17" s="109" t="str">
        <f t="shared" ca="1" si="0"/>
        <v>TG1</v>
      </c>
      <c r="D17" s="105" t="s">
        <v>9</v>
      </c>
      <c r="E17" s="109" t="str">
        <f t="shared" ca="1" si="1"/>
        <v>1G1</v>
      </c>
      <c r="F17" s="107" t="str">
        <f>"C"&amp;$Q$6</f>
        <v>C1</v>
      </c>
      <c r="G17" s="91"/>
      <c r="H17" s="93"/>
      <c r="I17" s="84"/>
      <c r="J17" s="93"/>
      <c r="K17" s="79"/>
    </row>
    <row r="18" spans="1:11" s="6" customFormat="1" ht="3.95" customHeight="1" x14ac:dyDescent="0.2">
      <c r="A18" s="90"/>
      <c r="B18" s="108"/>
      <c r="C18" s="110"/>
      <c r="D18" s="106"/>
      <c r="E18" s="110"/>
      <c r="F18" s="108"/>
      <c r="G18" s="92"/>
      <c r="H18" s="94"/>
      <c r="I18" s="84"/>
      <c r="J18" s="94"/>
      <c r="K18" s="79"/>
    </row>
    <row r="19" spans="1:11" s="6" customFormat="1" ht="30" customHeight="1" x14ac:dyDescent="0.2">
      <c r="A19" s="90">
        <v>7</v>
      </c>
      <c r="B19" s="107" t="str">
        <f>"B"&amp;$Q$6</f>
        <v>B1</v>
      </c>
      <c r="C19" s="109" t="str">
        <f t="shared" ca="1" si="0"/>
        <v>2n11</v>
      </c>
      <c r="D19" s="105" t="s">
        <v>9</v>
      </c>
      <c r="E19" s="109" t="str">
        <f t="shared" ca="1" si="1"/>
        <v>2n1</v>
      </c>
      <c r="F19" s="107" t="str">
        <f>"D"&amp;$Q$6</f>
        <v>D1</v>
      </c>
      <c r="G19" s="91"/>
      <c r="H19" s="93"/>
      <c r="I19" s="84"/>
      <c r="J19" s="93"/>
      <c r="K19" s="79"/>
    </row>
    <row r="20" spans="1:11" s="6" customFormat="1" ht="3.95" customHeight="1" x14ac:dyDescent="0.2">
      <c r="A20" s="90"/>
      <c r="B20" s="108"/>
      <c r="C20" s="110"/>
      <c r="D20" s="106"/>
      <c r="E20" s="110"/>
      <c r="F20" s="108"/>
      <c r="G20" s="92"/>
      <c r="H20" s="94"/>
      <c r="I20" s="84"/>
      <c r="J20" s="94"/>
      <c r="K20" s="79"/>
    </row>
    <row r="21" spans="1:11" s="6" customFormat="1" ht="30" customHeight="1" x14ac:dyDescent="0.2">
      <c r="A21" s="90">
        <v>8</v>
      </c>
      <c r="B21" s="107" t="str">
        <f>"C"&amp;$Q$6</f>
        <v>C1</v>
      </c>
      <c r="C21" s="109" t="str">
        <f t="shared" ca="1" si="0"/>
        <v>1G1</v>
      </c>
      <c r="D21" s="105" t="s">
        <v>9</v>
      </c>
      <c r="E21" s="109" t="str">
        <f t="shared" ca="1" si="1"/>
        <v>TAGORA</v>
      </c>
      <c r="F21" s="107" t="str">
        <f>"E"&amp;$Q$6</f>
        <v>E1</v>
      </c>
      <c r="G21" s="91"/>
      <c r="H21" s="93"/>
      <c r="I21" s="84"/>
      <c r="J21" s="93"/>
      <c r="K21" s="79"/>
    </row>
    <row r="22" spans="1:11" s="6" customFormat="1" ht="3.95" customHeight="1" x14ac:dyDescent="0.2">
      <c r="A22" s="90"/>
      <c r="B22" s="108"/>
      <c r="C22" s="110"/>
      <c r="D22" s="106"/>
      <c r="E22" s="110"/>
      <c r="F22" s="108"/>
      <c r="G22" s="92"/>
      <c r="H22" s="94"/>
      <c r="I22" s="84"/>
      <c r="J22" s="94"/>
      <c r="K22" s="79"/>
    </row>
    <row r="23" spans="1:11" s="6" customFormat="1" ht="30" customHeight="1" x14ac:dyDescent="0.2">
      <c r="A23" s="90">
        <v>9</v>
      </c>
      <c r="B23" s="107" t="str">
        <f>"A"&amp;$Q$6</f>
        <v>A1</v>
      </c>
      <c r="C23" s="109" t="str">
        <f t="shared" ca="1" si="0"/>
        <v>TG1</v>
      </c>
      <c r="D23" s="105" t="s">
        <v>9</v>
      </c>
      <c r="E23" s="109" t="str">
        <f t="shared" ca="1" si="1"/>
        <v>2n1</v>
      </c>
      <c r="F23" s="107" t="str">
        <f>"D"&amp;$Q$6</f>
        <v>D1</v>
      </c>
      <c r="G23" s="91"/>
      <c r="H23" s="93"/>
      <c r="I23" s="84"/>
      <c r="J23" s="93"/>
      <c r="K23" s="79"/>
    </row>
    <row r="24" spans="1:11" s="6" customFormat="1" ht="3.95" customHeight="1" x14ac:dyDescent="0.2">
      <c r="A24" s="90"/>
      <c r="B24" s="108"/>
      <c r="C24" s="110"/>
      <c r="D24" s="106"/>
      <c r="E24" s="110"/>
      <c r="F24" s="108"/>
      <c r="G24" s="92"/>
      <c r="H24" s="94"/>
      <c r="I24" s="84"/>
      <c r="J24" s="94"/>
      <c r="K24" s="79"/>
    </row>
    <row r="25" spans="1:11" s="6" customFormat="1" ht="30" customHeight="1" x14ac:dyDescent="0.2">
      <c r="A25" s="90">
        <v>10</v>
      </c>
      <c r="B25" s="107" t="str">
        <f>"B"&amp;$Q$6</f>
        <v>B1</v>
      </c>
      <c r="C25" s="109" t="str">
        <f t="shared" ca="1" si="0"/>
        <v>2n11</v>
      </c>
      <c r="D25" s="105" t="s">
        <v>9</v>
      </c>
      <c r="E25" s="109" t="str">
        <f t="shared" ca="1" si="1"/>
        <v>TAGORA</v>
      </c>
      <c r="F25" s="107" t="str">
        <f>"E"&amp;$Q$6</f>
        <v>E1</v>
      </c>
      <c r="G25" s="91"/>
      <c r="H25" s="93"/>
      <c r="I25" s="84"/>
      <c r="J25" s="93"/>
      <c r="K25" s="79"/>
    </row>
    <row r="26" spans="1:11" s="6" customFormat="1" ht="3.95" customHeight="1" x14ac:dyDescent="0.2">
      <c r="A26" s="90"/>
      <c r="B26" s="108"/>
      <c r="C26" s="110"/>
      <c r="D26" s="106"/>
      <c r="E26" s="110"/>
      <c r="F26" s="108"/>
      <c r="G26" s="92"/>
      <c r="H26" s="94"/>
      <c r="I26" s="84"/>
      <c r="J26" s="94"/>
      <c r="K26" s="79"/>
    </row>
    <row r="27" spans="1:11" s="6" customFormat="1" ht="30" hidden="1" customHeight="1" x14ac:dyDescent="0.2">
      <c r="A27" s="90">
        <v>11</v>
      </c>
      <c r="B27" s="107" t="str">
        <f>"C"&amp;$Q$6</f>
        <v>C1</v>
      </c>
      <c r="C27" s="109" t="str">
        <f t="shared" ca="1" si="0"/>
        <v>1G1</v>
      </c>
      <c r="D27" s="105" t="s">
        <v>9</v>
      </c>
      <c r="E27" s="109" t="str">
        <f t="shared" ca="1" si="1"/>
        <v>TAGORA</v>
      </c>
      <c r="F27" s="107" t="str">
        <f>"E"&amp;$Q$6</f>
        <v>E1</v>
      </c>
      <c r="G27" s="91"/>
      <c r="H27" s="93"/>
      <c r="I27" s="84"/>
      <c r="J27" s="93"/>
      <c r="K27" s="79"/>
    </row>
    <row r="28" spans="1:11" s="6" customFormat="1" ht="3.95" hidden="1" customHeight="1" x14ac:dyDescent="0.2">
      <c r="A28" s="90"/>
      <c r="B28" s="108"/>
      <c r="C28" s="110"/>
      <c r="D28" s="106"/>
      <c r="E28" s="110"/>
      <c r="F28" s="108"/>
      <c r="G28" s="92"/>
      <c r="H28" s="94"/>
      <c r="I28" s="84"/>
      <c r="J28" s="94"/>
      <c r="K28" s="79"/>
    </row>
    <row r="29" spans="1:11" s="6" customFormat="1" ht="30" hidden="1" customHeight="1" x14ac:dyDescent="0.2">
      <c r="A29" s="90">
        <v>12</v>
      </c>
      <c r="B29" s="107" t="str">
        <f>"A"&amp;$Q$6</f>
        <v>A1</v>
      </c>
      <c r="C29" s="109" t="str">
        <f t="shared" ca="1" si="0"/>
        <v>TG1</v>
      </c>
      <c r="D29" s="105" t="s">
        <v>9</v>
      </c>
      <c r="E29" s="109" t="str">
        <f t="shared" ca="1" si="1"/>
        <v>2n11</v>
      </c>
      <c r="F29" s="107" t="str">
        <f>"B"&amp;$Q$6</f>
        <v>B1</v>
      </c>
      <c r="G29" s="91"/>
      <c r="H29" s="93"/>
      <c r="I29" s="84"/>
      <c r="J29" s="93"/>
      <c r="K29" s="79"/>
    </row>
    <row r="30" spans="1:11" s="6" customFormat="1" ht="3.95" hidden="1" customHeight="1" x14ac:dyDescent="0.2">
      <c r="A30" s="90"/>
      <c r="B30" s="108"/>
      <c r="C30" s="110"/>
      <c r="D30" s="106"/>
      <c r="E30" s="110"/>
      <c r="F30" s="108"/>
      <c r="G30" s="92"/>
      <c r="H30" s="94"/>
      <c r="I30" s="84"/>
      <c r="J30" s="94"/>
      <c r="K30" s="79"/>
    </row>
    <row r="31" spans="1:11" s="6" customFormat="1" ht="30" hidden="1" customHeight="1" x14ac:dyDescent="0.2">
      <c r="A31" s="90">
        <v>13</v>
      </c>
      <c r="B31" s="107" t="str">
        <f>"E"&amp;$Q$6</f>
        <v>E1</v>
      </c>
      <c r="C31" s="109" t="str">
        <f t="shared" ca="1" si="0"/>
        <v>TAGORA</v>
      </c>
      <c r="D31" s="105" t="s">
        <v>9</v>
      </c>
      <c r="E31" s="109" t="str">
        <f t="shared" ca="1" si="1"/>
        <v>1STMG3</v>
      </c>
      <c r="F31" s="107" t="str">
        <f>"F"&amp;$Q$6</f>
        <v>F1</v>
      </c>
      <c r="G31" s="91"/>
      <c r="H31" s="93"/>
      <c r="I31" s="84"/>
      <c r="J31" s="93"/>
      <c r="K31" s="79"/>
    </row>
    <row r="32" spans="1:11" s="6" customFormat="1" ht="3.95" hidden="1" customHeight="1" x14ac:dyDescent="0.2">
      <c r="A32" s="90"/>
      <c r="B32" s="108"/>
      <c r="C32" s="110"/>
      <c r="D32" s="106"/>
      <c r="E32" s="110"/>
      <c r="F32" s="108"/>
      <c r="G32" s="92"/>
      <c r="H32" s="94"/>
      <c r="I32" s="84"/>
      <c r="J32" s="94"/>
      <c r="K32" s="79"/>
    </row>
    <row r="33" spans="1:16" s="6" customFormat="1" ht="30" hidden="1" customHeight="1" x14ac:dyDescent="0.2">
      <c r="A33" s="90">
        <v>14</v>
      </c>
      <c r="B33" s="107" t="str">
        <f>"A"&amp;$Q$6</f>
        <v>A1</v>
      </c>
      <c r="C33" s="109" t="str">
        <f t="shared" ca="1" si="0"/>
        <v>TG1</v>
      </c>
      <c r="D33" s="105" t="s">
        <v>9</v>
      </c>
      <c r="E33" s="109" t="str">
        <f t="shared" ca="1" si="1"/>
        <v>2n1</v>
      </c>
      <c r="F33" s="107" t="str">
        <f>"D"&amp;$Q$6</f>
        <v>D1</v>
      </c>
      <c r="G33" s="91"/>
      <c r="H33" s="93"/>
      <c r="I33" s="84"/>
      <c r="J33" s="93"/>
      <c r="K33" s="79"/>
    </row>
    <row r="34" spans="1:16" s="6" customFormat="1" ht="3.95" hidden="1" customHeight="1" x14ac:dyDescent="0.2">
      <c r="A34" s="90"/>
      <c r="B34" s="108"/>
      <c r="C34" s="110"/>
      <c r="D34" s="106"/>
      <c r="E34" s="110"/>
      <c r="F34" s="108"/>
      <c r="G34" s="92"/>
      <c r="H34" s="94"/>
      <c r="I34" s="84"/>
      <c r="J34" s="94"/>
      <c r="K34" s="79"/>
    </row>
    <row r="35" spans="1:16" s="6" customFormat="1" ht="30" hidden="1" customHeight="1" x14ac:dyDescent="0.2">
      <c r="A35" s="90">
        <v>15</v>
      </c>
      <c r="B35" s="107" t="str">
        <f>"B"&amp;$Q$6</f>
        <v>B1</v>
      </c>
      <c r="C35" s="109" t="str">
        <f t="shared" ca="1" si="0"/>
        <v>2n11</v>
      </c>
      <c r="D35" s="105" t="s">
        <v>9</v>
      </c>
      <c r="E35" s="109" t="str">
        <f t="shared" ca="1" si="1"/>
        <v>1G1</v>
      </c>
      <c r="F35" s="107" t="str">
        <f>"C"&amp;$Q$6</f>
        <v>C1</v>
      </c>
      <c r="G35" s="91"/>
      <c r="H35" s="93"/>
      <c r="I35" s="84"/>
      <c r="J35" s="93"/>
      <c r="K35" s="79"/>
    </row>
    <row r="36" spans="1:16" x14ac:dyDescent="0.2">
      <c r="P36" s="101" t="s">
        <v>65</v>
      </c>
    </row>
    <row r="38" spans="1:16" ht="22.5" customHeight="1" x14ac:dyDescent="0.25">
      <c r="B38" t="str">
        <f>"A"&amp;Q6</f>
        <v>A1</v>
      </c>
      <c r="C38" s="96" t="str">
        <f t="shared" ref="C38:C48" ca="1" si="2">VLOOKUP(B38,INDIRECT($R$13),2)</f>
        <v>TG1</v>
      </c>
      <c r="E38" s="97"/>
      <c r="G38" s="98"/>
      <c r="H38" s="99"/>
      <c r="J38" s="97"/>
      <c r="L38" s="97"/>
      <c r="M38" s="100"/>
      <c r="N38" s="97"/>
      <c r="P38" s="73"/>
    </row>
    <row r="39" spans="1:16" ht="3" customHeight="1" x14ac:dyDescent="0.25">
      <c r="C39" s="96"/>
    </row>
    <row r="40" spans="1:16" ht="22.5" customHeight="1" x14ac:dyDescent="0.25">
      <c r="B40" t="str">
        <f>"B"&amp;Q6</f>
        <v>B1</v>
      </c>
      <c r="C40" s="96" t="str">
        <f t="shared" ca="1" si="2"/>
        <v>2n11</v>
      </c>
      <c r="E40" s="97"/>
      <c r="G40" s="98"/>
      <c r="H40" s="99"/>
      <c r="J40" s="97"/>
      <c r="L40" s="97"/>
      <c r="M40" s="100"/>
      <c r="N40" s="97"/>
      <c r="P40" s="73"/>
    </row>
    <row r="41" spans="1:16" ht="3" customHeight="1" x14ac:dyDescent="0.25">
      <c r="C41" s="96"/>
    </row>
    <row r="42" spans="1:16" ht="22.5" customHeight="1" x14ac:dyDescent="0.25">
      <c r="B42" t="str">
        <f>"C"&amp;Q6</f>
        <v>C1</v>
      </c>
      <c r="C42" s="96" t="str">
        <f t="shared" ca="1" si="2"/>
        <v>1G1</v>
      </c>
      <c r="E42" s="97"/>
      <c r="G42" s="98"/>
      <c r="H42" s="99"/>
      <c r="J42" s="97"/>
      <c r="L42" s="97"/>
      <c r="M42" s="100"/>
      <c r="N42" s="97"/>
      <c r="P42" s="73"/>
    </row>
    <row r="43" spans="1:16" ht="3" customHeight="1" x14ac:dyDescent="0.25">
      <c r="C43" s="96"/>
    </row>
    <row r="44" spans="1:16" ht="22.5" customHeight="1" x14ac:dyDescent="0.25">
      <c r="B44" t="str">
        <f>"D"&amp;Q6</f>
        <v>D1</v>
      </c>
      <c r="C44" s="96" t="str">
        <f t="shared" ca="1" si="2"/>
        <v>2n1</v>
      </c>
      <c r="E44" s="97"/>
      <c r="G44" s="98"/>
      <c r="H44" s="99"/>
      <c r="J44" s="97"/>
      <c r="L44" s="97"/>
      <c r="M44" s="100"/>
      <c r="N44" s="97"/>
      <c r="P44" s="73"/>
    </row>
    <row r="45" spans="1:16" ht="3" customHeight="1" x14ac:dyDescent="0.25">
      <c r="C45" s="96"/>
    </row>
    <row r="46" spans="1:16" ht="22.5" customHeight="1" x14ac:dyDescent="0.25">
      <c r="B46" t="str">
        <f>"E"&amp;Q6</f>
        <v>E1</v>
      </c>
      <c r="C46" s="96" t="str">
        <f t="shared" ca="1" si="2"/>
        <v>TAGORA</v>
      </c>
      <c r="E46" s="97"/>
      <c r="G46" s="98"/>
      <c r="H46" s="99"/>
      <c r="J46" s="97"/>
      <c r="L46" s="97"/>
      <c r="M46" s="100"/>
      <c r="N46" s="97"/>
      <c r="P46" s="73"/>
    </row>
    <row r="47" spans="1:16" ht="3" customHeight="1" x14ac:dyDescent="0.25">
      <c r="C47" s="96"/>
    </row>
    <row r="48" spans="1:16" ht="22.5" customHeight="1" x14ac:dyDescent="0.25">
      <c r="B48" t="str">
        <f>"F"&amp;Q6</f>
        <v>F1</v>
      </c>
      <c r="C48" s="96" t="str">
        <f t="shared" ca="1" si="2"/>
        <v>1STMG3</v>
      </c>
      <c r="E48" s="97"/>
      <c r="G48" s="98"/>
      <c r="H48" s="99"/>
      <c r="J48" s="97"/>
      <c r="L48" s="97"/>
      <c r="M48" s="100"/>
      <c r="N48" s="97"/>
      <c r="P48" s="73"/>
    </row>
  </sheetData>
  <mergeCells count="5">
    <mergeCell ref="B1:J1"/>
    <mergeCell ref="B2:J2"/>
    <mergeCell ref="B3:J3"/>
    <mergeCell ref="H5:J5"/>
    <mergeCell ref="H6:J6"/>
  </mergeCells>
  <printOptions horizontalCentered="1" verticalCentered="1"/>
  <pageMargins left="0.11811023622047245" right="0.11811023622047245" top="0.35433070866141736" bottom="0.35433070866141736" header="0.31496062992125984" footer="0.31496062992125984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Drop Down 1">
              <controlPr defaultSize="0" print="0" autoLine="0" autoPict="0">
                <anchor moveWithCells="1">
                  <from>
                    <xdr:col>1</xdr:col>
                    <xdr:colOff>190500</xdr:colOff>
                    <xdr:row>3</xdr:row>
                    <xdr:rowOff>66675</xdr:rowOff>
                  </from>
                  <to>
                    <xdr:col>2</xdr:col>
                    <xdr:colOff>1104900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Drop Down 2">
              <controlPr defaultSize="0" print="0" autoLine="0" autoPict="0">
                <anchor moveWithCells="1">
                  <from>
                    <xdr:col>1</xdr:col>
                    <xdr:colOff>190500</xdr:colOff>
                    <xdr:row>5</xdr:row>
                    <xdr:rowOff>9525</xdr:rowOff>
                  </from>
                  <to>
                    <xdr:col>2</xdr:col>
                    <xdr:colOff>1095375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">
    <tabColor rgb="FF92D050"/>
  </sheetPr>
  <dimension ref="A2:AN29"/>
  <sheetViews>
    <sheetView showGridLines="0" zoomScaleNormal="100" workbookViewId="0">
      <selection activeCell="AB18" sqref="AB18"/>
    </sheetView>
  </sheetViews>
  <sheetFormatPr baseColWidth="10" defaultColWidth="11.5703125" defaultRowHeight="12.75" x14ac:dyDescent="0.2"/>
  <cols>
    <col min="1" max="1" width="3.42578125" bestFit="1" customWidth="1"/>
    <col min="2" max="2" width="22" customWidth="1"/>
    <col min="3" max="3" width="1.85546875" style="5" customWidth="1"/>
    <col min="4" max="4" width="21.5703125" customWidth="1"/>
    <col min="5" max="5" width="3.5703125" style="28" customWidth="1"/>
    <col min="6" max="6" width="5.7109375" customWidth="1"/>
    <col min="7" max="7" width="2.85546875" style="4" customWidth="1"/>
    <col min="8" max="8" width="5.7109375" style="1" customWidth="1"/>
    <col min="9" max="9" width="3.42578125" hidden="1" customWidth="1"/>
    <col min="10" max="11" width="3.140625" hidden="1" customWidth="1"/>
    <col min="12" max="12" width="8" customWidth="1"/>
    <col min="13" max="13" width="2.7109375" style="4" customWidth="1"/>
    <col min="14" max="14" width="6.7109375" customWidth="1"/>
    <col min="15" max="15" width="2.7109375" customWidth="1"/>
    <col min="16" max="16" width="8.85546875" customWidth="1"/>
    <col min="17" max="17" width="7.85546875" customWidth="1"/>
    <col min="18" max="18" width="8.28515625" customWidth="1"/>
    <col min="19" max="19" width="8.5703125" customWidth="1"/>
    <col min="20" max="20" width="9" customWidth="1"/>
    <col min="21" max="21" width="10.5703125" customWidth="1"/>
    <col min="22" max="27" width="1.85546875" customWidth="1"/>
    <col min="28" max="28" width="3.7109375" customWidth="1"/>
    <col min="29" max="29" width="3.42578125" customWidth="1"/>
    <col min="30" max="30" width="3" customWidth="1"/>
    <col min="31" max="31" width="2.7109375" customWidth="1"/>
  </cols>
  <sheetData>
    <row r="2" spans="1:40" x14ac:dyDescent="0.2">
      <c r="F2" s="186" t="str">
        <f>"Résultats Poule 1 Gymnase "&amp;Init!I7</f>
        <v>Résultats Poule 1 Gymnase Lycée</v>
      </c>
      <c r="U2" s="102"/>
    </row>
    <row r="3" spans="1:40" ht="13.5" thickBot="1" x14ac:dyDescent="0.25">
      <c r="C3" s="27"/>
      <c r="G3"/>
      <c r="M3"/>
      <c r="R3" s="2"/>
      <c r="S3" s="2"/>
      <c r="T3" s="2"/>
    </row>
    <row r="4" spans="1:40" s="2" customFormat="1" ht="30" customHeight="1" thickBot="1" x14ac:dyDescent="0.25">
      <c r="B4" s="23" t="s">
        <v>2</v>
      </c>
      <c r="C4" s="24" t="s">
        <v>9</v>
      </c>
      <c r="D4" s="25" t="s">
        <v>2</v>
      </c>
      <c r="E4" s="29"/>
      <c r="F4" s="413" t="s">
        <v>10</v>
      </c>
      <c r="G4" s="414"/>
      <c r="H4" s="415"/>
      <c r="I4" s="26"/>
      <c r="J4" s="26"/>
      <c r="K4" s="26"/>
      <c r="L4" s="417" t="s">
        <v>11</v>
      </c>
      <c r="M4" s="418"/>
      <c r="N4" s="419"/>
      <c r="U4" s="253"/>
      <c r="V4" s="253"/>
      <c r="W4" s="253"/>
      <c r="X4" s="253"/>
      <c r="Y4" s="253"/>
      <c r="Z4" s="253"/>
      <c r="AA4" s="253"/>
      <c r="AB4" s="326" t="s">
        <v>197</v>
      </c>
      <c r="AC4" s="326" t="s">
        <v>198</v>
      </c>
      <c r="AD4" s="326" t="s">
        <v>199</v>
      </c>
      <c r="AE4" s="253"/>
    </row>
    <row r="5" spans="1:40" s="2" customFormat="1" ht="18" customHeight="1" x14ac:dyDescent="0.2">
      <c r="A5" s="2">
        <v>1</v>
      </c>
      <c r="B5" s="170" t="str">
        <f>IF(Init!I6=1,IF(POULE1!$C$3="","",POULE1!$C$3),IF(POULE1!$C$3="","",POULE1!$F$3&amp;" / "&amp;POULE1!$G$3))</f>
        <v>TG1</v>
      </c>
      <c r="C5" s="175" t="s">
        <v>9</v>
      </c>
      <c r="D5" s="281" t="str">
        <f>IF(Init!I6=1,IF(POULE1!$C$8="","",POULE1!$C$4),IF(POULE1!$C$4="","",POULE1!$F$4&amp;" / "&amp;POULE1!$G$4))</f>
        <v>2n11</v>
      </c>
      <c r="E5" s="29"/>
      <c r="F5" s="14"/>
      <c r="G5" s="11" t="s">
        <v>1</v>
      </c>
      <c r="H5" s="17"/>
      <c r="I5" s="8"/>
      <c r="J5" s="3"/>
      <c r="K5" s="3"/>
      <c r="L5" s="9" t="str">
        <f t="shared" ref="L5:L25" si="0">IF(OR(F5="",H5="")," ",IF(OR(F5=-1,H5=-1),0,IF(F5&gt;H5,$P$10,IF(F5=H5,$Q$10,$R$10))))</f>
        <v xml:space="preserve"> </v>
      </c>
      <c r="M5" s="12"/>
      <c r="N5" s="10" t="str">
        <f>IF(OR(F5="",H5=""),"",IF(OR(F5=-1,H5=-1),0,IF(H5&gt;F5,$P$10,IF(H5=F5,$Q$10,$R$10))))</f>
        <v/>
      </c>
      <c r="U5" s="326" t="str">
        <f>IF(Init!$I$6=1,(POULE1!B3&amp;" / "&amp;POULE1!C3),(POULE1!F3&amp;" / "&amp;POULE1!G3))</f>
        <v>A1 / TG1</v>
      </c>
      <c r="V5" s="291">
        <f>IF(L5=0,"",IF(L5=3,1,IF(L5=2,0.5,0)))</f>
        <v>0</v>
      </c>
      <c r="W5" s="291">
        <f>IF(N8=0,"",IF(N8=3,1,IF(N8=2,0.5,0)))</f>
        <v>0</v>
      </c>
      <c r="X5" s="291">
        <f>IF(N12=3,1,IF(N12=2,0.5,0))</f>
        <v>0</v>
      </c>
      <c r="Y5" s="291">
        <f>IF(N15=3,1,IF(N15=2,0.5,0))</f>
        <v>0</v>
      </c>
      <c r="Z5" s="291">
        <f>IF(L19=3,1,IF(L19=2,0.5,0))</f>
        <v>0</v>
      </c>
      <c r="AA5" s="291">
        <f>IF(L22=3,1,IF(L22=2,0.5,0))</f>
        <v>0</v>
      </c>
      <c r="AB5" s="291">
        <f>COUNTIF(V5:AA5,1)</f>
        <v>0</v>
      </c>
      <c r="AC5" s="291">
        <f>COUNTIF(V5:AA5,0)</f>
        <v>6</v>
      </c>
      <c r="AD5" s="291">
        <f>COUNTIF(V5:AA5,0.5)</f>
        <v>0</v>
      </c>
      <c r="AE5" s="133">
        <f>(AB5*3)+(AC5)+(AD5*2)</f>
        <v>6</v>
      </c>
    </row>
    <row r="6" spans="1:40" s="2" customFormat="1" ht="18" customHeight="1" x14ac:dyDescent="0.2">
      <c r="A6" s="2">
        <v>2</v>
      </c>
      <c r="B6" s="169" t="str">
        <f>IF(Init!I6=1,IF(POULE1!$C$5="","",POULE1!$C$5),IF(POULE1!$C$5="","",POULE1!$F$5&amp;" / "&amp;POULE1!$G$5))</f>
        <v>1G1</v>
      </c>
      <c r="C6" s="175" t="s">
        <v>9</v>
      </c>
      <c r="D6" s="174" t="str">
        <f>IF(Init!I6=1,IF(POULE1!$C$6="","",POULE1!$C$6),IF(POULE1!$C$6="","",POULE1!$F$6&amp;" / "&amp;POULE1!$G$6))</f>
        <v>2n1</v>
      </c>
      <c r="E6" s="29"/>
      <c r="F6" s="15"/>
      <c r="G6" s="11" t="s">
        <v>1</v>
      </c>
      <c r="H6" s="17"/>
      <c r="I6" s="8"/>
      <c r="J6" s="3"/>
      <c r="K6" s="3"/>
      <c r="L6" s="9" t="str">
        <f t="shared" si="0"/>
        <v xml:space="preserve"> </v>
      </c>
      <c r="M6" s="12"/>
      <c r="N6" s="10" t="str">
        <f t="shared" ref="N6:N25" si="1">IF(OR(F6="",H6=""),"",IF(OR(F6=-1,H6=-1),0,IF(H6&gt;F6,$P$10,IF(H6=F6,$Q$10,$R$10))))</f>
        <v/>
      </c>
      <c r="U6" s="326" t="str">
        <f>IF(Init!$I$6=1,(POULE1!B4&amp;" / "&amp;POULE1!C4),(POULE1!F4&amp;" / "&amp;POULE1!G4))</f>
        <v>B1 / 2n11</v>
      </c>
      <c r="V6" s="291">
        <f>IF(N5=3,1,IF(N5=2,0.5,0))</f>
        <v>0</v>
      </c>
      <c r="W6" s="291">
        <f>IF(L9=0,"",IF(L9=3,1,IF(L9=2,0.5,0)))</f>
        <v>0</v>
      </c>
      <c r="X6" s="291">
        <f>IF(L13=3,1,IF(L13=2,0.5,0))</f>
        <v>0</v>
      </c>
      <c r="Y6" s="291">
        <f>IF(L16=0,"",IF(L16=3,1,IF(L16=2,0.5,0)))</f>
        <v>0</v>
      </c>
      <c r="Z6" s="291">
        <f>IF(L20=3,1,IF(L20=2,0.5,0))</f>
        <v>0</v>
      </c>
      <c r="AA6" s="291">
        <f>IF(L25=3,1,IF(L25=2,0.5,0))</f>
        <v>0</v>
      </c>
      <c r="AB6" s="291">
        <f t="shared" ref="AB6:AB11" si="2">COUNTIF(V6:AA6,1)</f>
        <v>0</v>
      </c>
      <c r="AC6" s="291">
        <f t="shared" ref="AC6:AC11" si="3">COUNTIF(V6:AA6,0)</f>
        <v>6</v>
      </c>
      <c r="AD6" s="291">
        <f t="shared" ref="AD6:AD11" si="4">COUNTIF(V6:AA6,0.5)</f>
        <v>0</v>
      </c>
      <c r="AE6" s="133">
        <f t="shared" ref="AE6:AE11" si="5">(AB6*3)+(AC6)+(AD6*2)</f>
        <v>6</v>
      </c>
    </row>
    <row r="7" spans="1:40" s="2" customFormat="1" ht="18" customHeight="1" x14ac:dyDescent="0.2">
      <c r="A7" s="2">
        <v>3</v>
      </c>
      <c r="B7" s="171" t="str">
        <f>IF(Init!I6=1,IF(POULE1!$C$8="","",POULE1!$C$8),IF(POULE1!$C$8="","",POULE1!$F$8&amp;" / "&amp;POULE1!$G$8))</f>
        <v>1STMG3</v>
      </c>
      <c r="C7" s="175" t="s">
        <v>9</v>
      </c>
      <c r="D7" s="173" t="str">
        <f>IF(Init!I6=1,IF(POULE1!$C$7="","",POULE1!$C$7),IF(POULE1!$C$7="","",POULE1!$F$7&amp;" / "&amp;POULE1!$G$7))</f>
        <v>TAGORA</v>
      </c>
      <c r="E7" s="29"/>
      <c r="F7" s="15"/>
      <c r="G7" s="11" t="s">
        <v>1</v>
      </c>
      <c r="H7" s="17"/>
      <c r="I7" s="8"/>
      <c r="J7" s="3"/>
      <c r="K7" s="3"/>
      <c r="L7" s="9" t="str">
        <f t="shared" si="0"/>
        <v xml:space="preserve"> </v>
      </c>
      <c r="M7" s="12"/>
      <c r="N7" s="10" t="str">
        <f t="shared" si="1"/>
        <v/>
      </c>
      <c r="U7" s="326" t="str">
        <f>IF(Init!$I$6=1,(POULE1!B5&amp;" / "&amp;POULE1!C5),(POULE1!F5&amp;" / "&amp;POULE1!G5))</f>
        <v>C1 / 1G1</v>
      </c>
      <c r="V7" s="291">
        <f>IF(L6=3,1,IF(L6=2,0.5,0))</f>
        <v>0</v>
      </c>
      <c r="W7" s="291">
        <f>IF(L10=0,"",IF(L10=3,1,IF(L10=2,0.5,0)))</f>
        <v>0</v>
      </c>
      <c r="X7" s="291">
        <f>IF(N13=3,1,IF(N13=2,0.5,0))</f>
        <v>0</v>
      </c>
      <c r="Y7" s="291">
        <f>IF(L17=0,"",IF(L17=3,1,IF(L17=2,0.5,0)))</f>
        <v>0</v>
      </c>
      <c r="Z7" s="291">
        <f>IF(N19=3,1,IF(N19=2,0.5,0))</f>
        <v>0</v>
      </c>
      <c r="AA7" s="291">
        <f>IF(N23=0,"",IF(N23=3,1,IF(N23=2,0.5,0)))</f>
        <v>0</v>
      </c>
      <c r="AB7" s="291">
        <f t="shared" si="2"/>
        <v>0</v>
      </c>
      <c r="AC7" s="291">
        <f t="shared" si="3"/>
        <v>6</v>
      </c>
      <c r="AD7" s="291">
        <f t="shared" si="4"/>
        <v>0</v>
      </c>
      <c r="AE7" s="133">
        <f t="shared" si="5"/>
        <v>6</v>
      </c>
    </row>
    <row r="8" spans="1:40" s="2" customFormat="1" ht="18" customHeight="1" thickBot="1" x14ac:dyDescent="0.25">
      <c r="A8" s="2">
        <v>4</v>
      </c>
      <c r="B8" s="172" t="str">
        <f>IF(Init!I6=1,IF(POULE1!$C$9="","",POULE1!$B$9&amp;" / "&amp;POULE1!$C$9),IF(POULE1!$C$9="","",POULE1!$F$9&amp;" / "&amp;POULE1!$G$9))</f>
        <v/>
      </c>
      <c r="C8" s="175" t="s">
        <v>9</v>
      </c>
      <c r="D8" s="170" t="str">
        <f>IF(Init!I6=1,IF(POULE1!$C$3="","",POULE1!$C$3),IF(POULE1!$C$3="","",POULE1!$F$3&amp;" / "&amp;POULE1!$G$3))</f>
        <v>TG1</v>
      </c>
      <c r="E8" s="29"/>
      <c r="F8" s="356"/>
      <c r="G8" s="11" t="s">
        <v>1</v>
      </c>
      <c r="H8" s="357"/>
      <c r="I8" s="8"/>
      <c r="J8" s="3"/>
      <c r="K8" s="3"/>
      <c r="L8" s="9" t="str">
        <f>IF(OR(F8="",H8="")," ",IF(OR(F8=-1,H8=-1),0,IF(F8&gt;H8,$P$10,IF(F8=H8,$Q$10,$R$10))))</f>
        <v xml:space="preserve"> </v>
      </c>
      <c r="M8" s="12"/>
      <c r="N8" s="10" t="str">
        <f t="shared" si="1"/>
        <v/>
      </c>
      <c r="P8" s="416" t="s">
        <v>5</v>
      </c>
      <c r="Q8" s="416"/>
      <c r="R8" s="416"/>
      <c r="S8" s="6"/>
      <c r="T8" s="6"/>
      <c r="U8" s="326" t="str">
        <f>IF(Init!$I$6=1,(POULE1!B6&amp;" / "&amp;POULE1!C6),(POULE1!F6&amp;" / "&amp;POULE1!G6))</f>
        <v>D1 / 2n1</v>
      </c>
      <c r="V8" s="291">
        <f>IF(N6=3,1,IF(N6=2,0.5,0))</f>
        <v>0</v>
      </c>
      <c r="W8" s="291">
        <f>IF(N9=0,"",IF(N9=3,1,IF(N9=2,0.5,0)))</f>
        <v>0</v>
      </c>
      <c r="X8" s="291">
        <f>IF(L12=3,1,IF(L12=2,0.5,0))</f>
        <v>0</v>
      </c>
      <c r="Y8" s="291">
        <f>IF(L18=0,"",IF(L18=3,1,IF(L18=2,0.5,0)))</f>
        <v>0</v>
      </c>
      <c r="Z8" s="291">
        <f>IF(L21=0,"",IF(L21=3,1,IF(L21=2,0.5,0)))</f>
        <v>0</v>
      </c>
      <c r="AA8" s="291">
        <f>IF(L24=0,"",IF(L24=3,1,IF(N24=2,0.5,0)))</f>
        <v>0</v>
      </c>
      <c r="AB8" s="291">
        <f t="shared" si="2"/>
        <v>0</v>
      </c>
      <c r="AC8" s="291">
        <f t="shared" si="3"/>
        <v>6</v>
      </c>
      <c r="AD8" s="291">
        <f t="shared" si="4"/>
        <v>0</v>
      </c>
      <c r="AE8" s="133">
        <f t="shared" si="5"/>
        <v>6</v>
      </c>
    </row>
    <row r="9" spans="1:40" s="2" customFormat="1" ht="18" customHeight="1" x14ac:dyDescent="0.2">
      <c r="A9" s="2">
        <v>5</v>
      </c>
      <c r="B9" s="281" t="str">
        <f>IF(Init!I6=1,IF(POULE1!$C$8="","",POULE1!$C$4),IF(POULE1!$C$4="","",POULE1!$F$4&amp;" / "&amp;POULE1!$G$4))</f>
        <v>2n11</v>
      </c>
      <c r="C9" s="175" t="s">
        <v>9</v>
      </c>
      <c r="D9" s="174" t="str">
        <f>IF(Init!I6=1,IF(POULE1!$C$6="","",POULE1!$C$6),IF(POULE1!$C$6="","",POULE1!$F$6&amp;" / "&amp;POULE1!$G$6))</f>
        <v>2n1</v>
      </c>
      <c r="E9" s="29"/>
      <c r="F9" s="15"/>
      <c r="G9" s="11" t="s">
        <v>1</v>
      </c>
      <c r="H9" s="17"/>
      <c r="I9" s="8"/>
      <c r="J9" s="3"/>
      <c r="K9" s="3"/>
      <c r="L9" s="9" t="str">
        <f t="shared" si="0"/>
        <v xml:space="preserve"> </v>
      </c>
      <c r="M9" s="12"/>
      <c r="N9" s="10" t="str">
        <f t="shared" si="1"/>
        <v/>
      </c>
      <c r="P9" s="30" t="s">
        <v>6</v>
      </c>
      <c r="Q9" s="31" t="s">
        <v>7</v>
      </c>
      <c r="R9" s="32" t="s">
        <v>8</v>
      </c>
      <c r="S9" s="6"/>
      <c r="T9" s="6"/>
      <c r="U9" s="326" t="str">
        <f>IF(Init!$I$6=1,(POULE1!B7&amp;" / "&amp;POULE1!C7),(POULE1!F7&amp;" / "&amp;POULE1!G7))</f>
        <v>E1 / TAGORA</v>
      </c>
      <c r="V9" s="291">
        <f>IF(N7=3,1,IF(N7=2,0.5,0))</f>
        <v>0</v>
      </c>
      <c r="W9" s="291">
        <f>IF(N10=0,"",IF(N10=3,1,IF(N10=2,0.5,0)))</f>
        <v>0</v>
      </c>
      <c r="X9" s="291">
        <f>IF(L14=0,"",IF(L14=3,1,IF(L14=2,0.5,0)))</f>
        <v>0</v>
      </c>
      <c r="Y9" s="291">
        <f>IF(N18=0,"",IF(N18=3,1,IF(N18=2,0.5,0)))</f>
        <v>0</v>
      </c>
      <c r="Z9" s="291">
        <f>IF(N22=0,"",IF(N22=3,1,IF(N22=2,0.5,0)))</f>
        <v>0</v>
      </c>
      <c r="AA9" s="291">
        <f>IF(N25=0,"",IF(N25=3,1,IF(N25=2,0.5,0)))</f>
        <v>0</v>
      </c>
      <c r="AB9" s="291">
        <f t="shared" si="2"/>
        <v>0</v>
      </c>
      <c r="AC9" s="291">
        <f t="shared" si="3"/>
        <v>6</v>
      </c>
      <c r="AD9" s="291">
        <f t="shared" si="4"/>
        <v>0</v>
      </c>
      <c r="AE9" s="133">
        <f t="shared" si="5"/>
        <v>6</v>
      </c>
    </row>
    <row r="10" spans="1:40" s="2" customFormat="1" ht="18" customHeight="1" thickBot="1" x14ac:dyDescent="0.25">
      <c r="A10" s="2">
        <v>6</v>
      </c>
      <c r="B10" s="169" t="str">
        <f>IF(Init!I6=1,IF(POULE1!$C$5="","",POULE1!$C$5),IF(POULE1!$C$5="","",POULE1!$F$5&amp;" / "&amp;POULE1!$G$5))</f>
        <v>1G1</v>
      </c>
      <c r="C10" s="175" t="s">
        <v>9</v>
      </c>
      <c r="D10" s="173" t="str">
        <f>IF(Init!I6=1,IF(POULE1!$C$7="","",POULE1!$C$7),IF(POULE1!$C$7="","",POULE1!$F$7&amp;" / "&amp;POULE1!$G$7))</f>
        <v>TAGORA</v>
      </c>
      <c r="E10" s="29"/>
      <c r="F10" s="15"/>
      <c r="G10" s="11" t="s">
        <v>1</v>
      </c>
      <c r="H10" s="17"/>
      <c r="I10" s="8"/>
      <c r="J10" s="3"/>
      <c r="K10" s="3"/>
      <c r="L10" s="9" t="str">
        <f t="shared" si="0"/>
        <v xml:space="preserve"> </v>
      </c>
      <c r="M10" s="12"/>
      <c r="N10" s="10" t="str">
        <f t="shared" si="1"/>
        <v/>
      </c>
      <c r="P10" s="33">
        <v>3</v>
      </c>
      <c r="Q10" s="34">
        <v>2</v>
      </c>
      <c r="R10" s="34">
        <v>1</v>
      </c>
      <c r="U10" s="326" t="str">
        <f>IF(Init!$I$6=1,(POULE1!B8&amp;" / "&amp;POULE1!C8),(POULE1!F8&amp;" / "&amp;POULE1!G8))</f>
        <v>F1 / 1STMG3</v>
      </c>
      <c r="V10" s="291">
        <f>IF(L7=3,1,IF(L7=2,0.5,0))</f>
        <v>0</v>
      </c>
      <c r="W10" s="291">
        <f>IF(N11=0,"",IF(N11=3,1,IF(N11=2,0.5,0)))</f>
        <v>0</v>
      </c>
      <c r="X10" s="291">
        <f>IF(L15=0,"",IF(L15=3,1,IF(L15=2,0.5,0)))</f>
        <v>0</v>
      </c>
      <c r="Y10" s="291">
        <f>IF(N17=0,"",IF(N17=3,1,IF(N17=2,0.5,0)))</f>
        <v>0</v>
      </c>
      <c r="Z10" s="291">
        <f>IF(N20=0,"",IF(N20=3,1,IF(N20=2,0.5,0)))</f>
        <v>0</v>
      </c>
      <c r="AA10" s="291">
        <f>IF(N24=0,"",IF(N24=3,1,IF(N24=2,0.5,0)))</f>
        <v>0</v>
      </c>
      <c r="AB10" s="291">
        <f t="shared" si="2"/>
        <v>0</v>
      </c>
      <c r="AC10" s="291">
        <f t="shared" si="3"/>
        <v>6</v>
      </c>
      <c r="AD10" s="291">
        <f t="shared" si="4"/>
        <v>0</v>
      </c>
      <c r="AE10" s="133">
        <f t="shared" si="5"/>
        <v>6</v>
      </c>
    </row>
    <row r="11" spans="1:40" s="2" customFormat="1" ht="18" customHeight="1" x14ac:dyDescent="0.2">
      <c r="A11" s="2">
        <v>7</v>
      </c>
      <c r="B11" s="172" t="str">
        <f>IF(Init!I6=1,IF(POULE1!$C$9="","",POULE1!$B$9&amp;" / "&amp;POULE1!$C$9),IF(POULE1!$C$9="","",POULE1!$F$9&amp;" / "&amp;POULE1!$G$9))</f>
        <v/>
      </c>
      <c r="C11" s="175" t="s">
        <v>9</v>
      </c>
      <c r="D11" s="171" t="str">
        <f>IF(Init!I6=1,IF(POULE1!$C$8="","",POULE1!$C$8),IF(POULE1!$C$8="","",POULE1!$F$8&amp;" / "&amp;POULE1!$G$8))</f>
        <v>1STMG3</v>
      </c>
      <c r="E11" s="29"/>
      <c r="F11" s="356"/>
      <c r="G11" s="11" t="s">
        <v>1</v>
      </c>
      <c r="H11" s="357"/>
      <c r="I11" s="8"/>
      <c r="J11" s="3"/>
      <c r="K11" s="3"/>
      <c r="L11" s="9" t="str">
        <f t="shared" si="0"/>
        <v xml:space="preserve"> </v>
      </c>
      <c r="M11" s="12"/>
      <c r="N11" s="10" t="str">
        <f t="shared" si="1"/>
        <v/>
      </c>
      <c r="U11" s="326" t="str">
        <f>IF(Init!$I$6=1,(POULE1!B9&amp;" / "&amp;POULE1!C9),(POULE1!F9&amp;" / "&amp;POULE1!G9))</f>
        <v xml:space="preserve">G1 / </v>
      </c>
      <c r="V11" s="291">
        <f>IF(L8=0,"",IF(L8=3,1,IF(L8=2,0.5,0)))</f>
        <v>0</v>
      </c>
      <c r="W11" s="291">
        <f>IF(L11=0,"",IF(L11=3,1,IF(L11=2,0.5,0)))</f>
        <v>0</v>
      </c>
      <c r="X11" s="291">
        <f>IF(N14=0,"",IF(N14=3,1,IF(N14=2,0.5,0)))</f>
        <v>0</v>
      </c>
      <c r="Y11" s="291">
        <f>IF(N16=0,"",IF(N16=3,1,IF(N16=2,0.5,0)))</f>
        <v>0</v>
      </c>
      <c r="Z11" s="291">
        <f>IF(N21=0,"",IF(N21=3,1,IF(N21=2,0.5,0)))</f>
        <v>0</v>
      </c>
      <c r="AA11" s="291">
        <f>IF(L23=0,"",IF(L23=3,1,IF(L23=2,0.5,0)))</f>
        <v>0</v>
      </c>
      <c r="AB11" s="291">
        <f t="shared" si="2"/>
        <v>0</v>
      </c>
      <c r="AC11" s="291">
        <f t="shared" si="3"/>
        <v>6</v>
      </c>
      <c r="AD11" s="291">
        <f t="shared" si="4"/>
        <v>0</v>
      </c>
      <c r="AE11" s="133">
        <f t="shared" si="5"/>
        <v>6</v>
      </c>
    </row>
    <row r="12" spans="1:40" s="2" customFormat="1" ht="18" customHeight="1" x14ac:dyDescent="0.2">
      <c r="A12" s="2">
        <v>8</v>
      </c>
      <c r="B12" s="174" t="str">
        <f>IF(Init!I6=1,IF(POULE1!$C$6="","",POULE1!$C$6),IF(POULE1!$C$6="","",POULE1!$F$6&amp;" / "&amp;POULE1!$G$6))</f>
        <v>2n1</v>
      </c>
      <c r="C12" s="175" t="s">
        <v>9</v>
      </c>
      <c r="D12" s="170" t="str">
        <f>IF(Init!I6=1,IF(POULE1!$C$3="","",POULE1!$C$3),IF(POULE1!$C$3="","",POULE1!$F$3&amp;" / "&amp;POULE1!$G$3))</f>
        <v>TG1</v>
      </c>
      <c r="E12" s="29"/>
      <c r="F12" s="15"/>
      <c r="G12" s="11" t="s">
        <v>1</v>
      </c>
      <c r="H12" s="17"/>
      <c r="I12" s="8"/>
      <c r="J12" s="3"/>
      <c r="K12" s="3"/>
      <c r="L12" s="9" t="str">
        <f t="shared" si="0"/>
        <v xml:space="preserve"> </v>
      </c>
      <c r="M12" s="12"/>
      <c r="N12" s="10" t="str">
        <f t="shared" si="1"/>
        <v/>
      </c>
    </row>
    <row r="13" spans="1:40" s="2" customFormat="1" ht="18" customHeight="1" x14ac:dyDescent="0.2">
      <c r="A13" s="2">
        <v>9</v>
      </c>
      <c r="B13" s="281" t="str">
        <f>IF(Init!I6=1,IF(POULE1!$C$8="","",POULE1!$C$4),IF(POULE1!$C$4="","",POULE1!$F$4&amp;" / "&amp;POULE1!$G$4))</f>
        <v>2n11</v>
      </c>
      <c r="C13" s="175" t="s">
        <v>9</v>
      </c>
      <c r="D13" s="169" t="str">
        <f>IF(Init!I6=1,IF(POULE1!$C$5="","",POULE1!$C$5),IF(POULE1!$C$5="","",POULE1!$F$5&amp;" / "&amp;POULE1!$G$5))</f>
        <v>1G1</v>
      </c>
      <c r="E13" s="29"/>
      <c r="F13" s="15"/>
      <c r="G13" s="11" t="s">
        <v>1</v>
      </c>
      <c r="H13" s="17"/>
      <c r="I13" s="8"/>
      <c r="J13" s="3"/>
      <c r="K13" s="3"/>
      <c r="L13" s="9" t="str">
        <f t="shared" si="0"/>
        <v xml:space="preserve"> </v>
      </c>
      <c r="M13" s="12"/>
      <c r="N13" s="10" t="str">
        <f t="shared" si="1"/>
        <v/>
      </c>
    </row>
    <row r="14" spans="1:40" s="2" customFormat="1" ht="18" customHeight="1" x14ac:dyDescent="0.2">
      <c r="A14" s="2">
        <v>10</v>
      </c>
      <c r="B14" s="173" t="str">
        <f>IF(Init!I6=1,IF(POULE1!$C$7="","",POULE1!$C$7),IF(POULE1!$C$7="","",POULE1!$F$7&amp;" / "&amp;POULE1!$G$7))</f>
        <v>TAGORA</v>
      </c>
      <c r="C14" s="175" t="s">
        <v>9</v>
      </c>
      <c r="D14" s="172" t="str">
        <f>IF(Init!I6=1,IF(POULE1!$C$9="","",POULE1!$B$9&amp;" / "&amp;POULE1!$C$9),IF(POULE1!$C$9="","",POULE1!$F$9&amp;" / "&amp;POULE1!$G$9))</f>
        <v/>
      </c>
      <c r="E14" s="29"/>
      <c r="F14" s="356"/>
      <c r="G14" s="11" t="s">
        <v>1</v>
      </c>
      <c r="H14" s="357"/>
      <c r="I14" s="8"/>
      <c r="J14" s="3"/>
      <c r="K14" s="3"/>
      <c r="L14" s="9" t="str">
        <f t="shared" si="0"/>
        <v xml:space="preserve"> </v>
      </c>
      <c r="M14" s="12"/>
      <c r="N14" s="10" t="str">
        <f t="shared" si="1"/>
        <v/>
      </c>
    </row>
    <row r="15" spans="1:40" s="4" customFormat="1" ht="18" customHeight="1" x14ac:dyDescent="0.2">
      <c r="A15" s="2">
        <v>11</v>
      </c>
      <c r="B15" s="171" t="str">
        <f>IF(Init!I6=1,IF(POULE1!$C$8="","",POULE1!$C$8),IF(POULE1!$C$8="","",POULE1!$F$8&amp;" / "&amp;POULE1!$G$8))</f>
        <v>1STMG3</v>
      </c>
      <c r="C15" s="175" t="s">
        <v>9</v>
      </c>
      <c r="D15" s="170" t="str">
        <f>IF(Init!I6=1,IF(POULE1!$C$3="","",POULE1!$C$3),IF(POULE1!$C$3="","",POULE1!$F$3&amp;" / "&amp;POULE1!$G$3))</f>
        <v>TG1</v>
      </c>
      <c r="E15" s="28"/>
      <c r="F15" s="15"/>
      <c r="G15" s="11" t="s">
        <v>1</v>
      </c>
      <c r="H15" s="17"/>
      <c r="I15" s="8"/>
      <c r="J15" s="3"/>
      <c r="K15" s="3"/>
      <c r="L15" s="9" t="str">
        <f t="shared" si="0"/>
        <v xml:space="preserve"> </v>
      </c>
      <c r="M15" s="12"/>
      <c r="N15" s="10" t="str">
        <f t="shared" si="1"/>
        <v/>
      </c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0" s="4" customFormat="1" ht="18" customHeight="1" x14ac:dyDescent="0.2">
      <c r="A16" s="2">
        <v>12</v>
      </c>
      <c r="B16" s="281" t="str">
        <f>IF(Init!I6=1,IF(POULE1!$C$8="","",POULE1!$C$4),IF(POULE1!$C$4="","",POULE1!$F$4&amp;" / "&amp;POULE1!$G$4))</f>
        <v>2n11</v>
      </c>
      <c r="C16" s="175" t="s">
        <v>9</v>
      </c>
      <c r="D16" s="172" t="str">
        <f>IF(Init!I6=1,IF(POULE1!$C$9="","",POULE1!$B$9&amp;" / "&amp;POULE1!$C$9),IF(POULE1!$C$9="","",POULE1!$F$9&amp;" / "&amp;POULE1!$G$9))</f>
        <v/>
      </c>
      <c r="E16" s="28"/>
      <c r="F16" s="356"/>
      <c r="G16" s="11" t="s">
        <v>1</v>
      </c>
      <c r="H16" s="357"/>
      <c r="I16" s="8"/>
      <c r="J16" s="3"/>
      <c r="K16" s="3"/>
      <c r="L16" s="9" t="str">
        <f t="shared" si="0"/>
        <v xml:space="preserve"> </v>
      </c>
      <c r="M16" s="12"/>
      <c r="N16" s="10" t="str">
        <f t="shared" si="1"/>
        <v/>
      </c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s="4" customFormat="1" ht="18" customHeight="1" x14ac:dyDescent="0.2">
      <c r="A17" s="2">
        <v>13</v>
      </c>
      <c r="B17" s="169" t="str">
        <f>IF(Init!I6=1,IF(POULE1!$C$5="","",POULE1!$C$5),IF(POULE1!$C$5="","",POULE1!$F$5&amp;" / "&amp;POULE1!$G$5))</f>
        <v>1G1</v>
      </c>
      <c r="C17" s="175" t="s">
        <v>9</v>
      </c>
      <c r="D17" s="171" t="str">
        <f>IF(Init!I6=1,IF(POULE1!$C$8="","",POULE1!$C$8),IF(POULE1!$C$8="","",POULE1!$F$8&amp;" / "&amp;POULE1!$G$8))</f>
        <v>1STMG3</v>
      </c>
      <c r="E17" s="28"/>
      <c r="F17" s="15"/>
      <c r="G17" s="11" t="s">
        <v>1</v>
      </c>
      <c r="H17" s="17"/>
      <c r="I17" s="8"/>
      <c r="J17" s="3"/>
      <c r="K17" s="3"/>
      <c r="L17" s="9" t="str">
        <f t="shared" si="0"/>
        <v xml:space="preserve"> </v>
      </c>
      <c r="M17" s="12"/>
      <c r="N17" s="10" t="str">
        <f t="shared" si="1"/>
        <v/>
      </c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:40" s="4" customFormat="1" ht="18" customHeight="1" x14ac:dyDescent="0.2">
      <c r="A18" s="2">
        <v>14</v>
      </c>
      <c r="B18" s="174" t="str">
        <f>IF(Init!I6=1,IF(POULE1!$C$6="","",POULE1!$C$6),IF(POULE1!$C$6="","",POULE1!$F$6&amp;" / "&amp;POULE1!$G$6))</f>
        <v>2n1</v>
      </c>
      <c r="C18" s="175" t="s">
        <v>9</v>
      </c>
      <c r="D18" s="173" t="str">
        <f>IF(Init!I6=1,IF(POULE1!$C$7="","",POULE1!$C$7),IF(POULE1!$C$7="","",POULE1!$F$7&amp;" / "&amp;POULE1!$G$7))</f>
        <v>TAGORA</v>
      </c>
      <c r="E18" s="28"/>
      <c r="F18" s="15"/>
      <c r="G18" s="11" t="s">
        <v>1</v>
      </c>
      <c r="H18" s="17"/>
      <c r="I18" s="8"/>
      <c r="J18" s="3"/>
      <c r="K18" s="3"/>
      <c r="L18" s="9" t="str">
        <f t="shared" si="0"/>
        <v xml:space="preserve"> </v>
      </c>
      <c r="M18" s="12"/>
      <c r="N18" s="10" t="str">
        <f t="shared" si="1"/>
        <v/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1:40" s="4" customFormat="1" ht="18" customHeight="1" x14ac:dyDescent="0.2">
      <c r="A19" s="2">
        <v>15</v>
      </c>
      <c r="B19" s="170" t="str">
        <f>IF(Init!I6=1,IF(POULE1!$C$3="","",POULE1!$C$3),IF(POULE1!$C$3="","",POULE1!$F$3&amp;" / "&amp;POULE1!$G$3))</f>
        <v>TG1</v>
      </c>
      <c r="C19" s="175" t="s">
        <v>9</v>
      </c>
      <c r="D19" s="169" t="str">
        <f>IF(Init!I6=1,IF(POULE1!$C$5="","",POULE1!$C$5),IF(POULE1!$C$5="","",POULE1!$F$5&amp;" / "&amp;POULE1!$G$5))</f>
        <v>1G1</v>
      </c>
      <c r="E19" s="28"/>
      <c r="F19" s="15"/>
      <c r="G19" s="11" t="s">
        <v>1</v>
      </c>
      <c r="H19" s="17"/>
      <c r="I19" s="8"/>
      <c r="J19" s="3"/>
      <c r="K19" s="3"/>
      <c r="L19" s="9" t="str">
        <f t="shared" si="0"/>
        <v xml:space="preserve"> </v>
      </c>
      <c r="M19" s="12"/>
      <c r="N19" s="10" t="str">
        <f t="shared" si="1"/>
        <v/>
      </c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1:40" ht="18" x14ac:dyDescent="0.2">
      <c r="A20" s="2">
        <v>16</v>
      </c>
      <c r="B20" s="281" t="str">
        <f>IF(Init!I6=1,IF(POULE1!$C$8="","",POULE1!$C$4),IF(POULE1!$C$4="","",POULE1!$F$4&amp;" / "&amp;POULE1!$G$4))</f>
        <v>2n11</v>
      </c>
      <c r="C20" s="175" t="s">
        <v>9</v>
      </c>
      <c r="D20" s="171" t="str">
        <f>IF(Init!I6=1,IF(POULE1!$C$8="","",POULE1!$C$8),IF(POULE1!$C$8="","",POULE1!$F$8&amp;" / "&amp;POULE1!$G$8))</f>
        <v>1STMG3</v>
      </c>
      <c r="F20" s="15"/>
      <c r="G20" s="11" t="s">
        <v>1</v>
      </c>
      <c r="H20" s="17"/>
      <c r="I20" s="8"/>
      <c r="J20" s="3"/>
      <c r="K20" s="3"/>
      <c r="L20" s="9" t="str">
        <f t="shared" si="0"/>
        <v xml:space="preserve"> </v>
      </c>
      <c r="M20" s="12"/>
      <c r="N20" s="10" t="str">
        <f t="shared" si="1"/>
        <v/>
      </c>
    </row>
    <row r="21" spans="1:40" ht="18" x14ac:dyDescent="0.2">
      <c r="A21" s="2">
        <v>17</v>
      </c>
      <c r="B21" s="174" t="str">
        <f>IF(Init!I6=1,IF(POULE1!$C$6="","",POULE1!$C$6),IF(POULE1!$C$6="","",POULE1!$F$6&amp;" / "&amp;POULE1!$G$6))</f>
        <v>2n1</v>
      </c>
      <c r="C21" s="175" t="s">
        <v>9</v>
      </c>
      <c r="D21" s="172" t="str">
        <f>IF(Init!I6=1,IF(POULE1!$C$9="","",POULE1!$B$9&amp;" / "&amp;POULE1!$C$9),IF(POULE1!$C$9="","",POULE1!$F$9&amp;" / "&amp;POULE1!$G$9))</f>
        <v/>
      </c>
      <c r="F21" s="356"/>
      <c r="G21" s="11" t="s">
        <v>1</v>
      </c>
      <c r="H21" s="357"/>
      <c r="I21" s="8"/>
      <c r="J21" s="3"/>
      <c r="K21" s="3"/>
      <c r="L21" s="9" t="str">
        <f t="shared" si="0"/>
        <v xml:space="preserve"> </v>
      </c>
      <c r="M21" s="12"/>
      <c r="N21" s="10" t="str">
        <f t="shared" si="1"/>
        <v/>
      </c>
    </row>
    <row r="22" spans="1:40" ht="18" x14ac:dyDescent="0.2">
      <c r="A22" s="2">
        <v>18</v>
      </c>
      <c r="B22" s="170" t="str">
        <f>IF(Init!I6=1,IF(POULE1!$C$3="","",POULE1!$C$3),IF(POULE1!$C$3="","",POULE1!$F$3&amp;" / "&amp;POULE1!$G$3))</f>
        <v>TG1</v>
      </c>
      <c r="C22" s="175" t="s">
        <v>9</v>
      </c>
      <c r="D22" s="173" t="str">
        <f>IF(Init!I6=1,IF(POULE1!$C$7="","",POULE1!$C$7),IF(POULE1!$C$7="","",POULE1!$F$7&amp;" / "&amp;POULE1!$G$7))</f>
        <v>TAGORA</v>
      </c>
      <c r="F22" s="15"/>
      <c r="G22" s="11" t="s">
        <v>1</v>
      </c>
      <c r="H22" s="17"/>
      <c r="I22" s="8"/>
      <c r="J22" s="3"/>
      <c r="K22" s="3"/>
      <c r="L22" s="9" t="str">
        <f t="shared" si="0"/>
        <v xml:space="preserve"> </v>
      </c>
      <c r="M22" s="12"/>
      <c r="N22" s="10" t="str">
        <f t="shared" si="1"/>
        <v/>
      </c>
    </row>
    <row r="23" spans="1:40" ht="18" x14ac:dyDescent="0.2">
      <c r="A23" s="2">
        <v>19</v>
      </c>
      <c r="B23" s="172" t="str">
        <f>IF(Init!I6=1,IF(POULE1!$C$9="","",POULE1!$B$9&amp;" / "&amp;POULE1!$C$9),IF(POULE1!$C$9="","",POULE1!$F$9&amp;" / "&amp;POULE1!$G$9))</f>
        <v/>
      </c>
      <c r="C23" s="175" t="s">
        <v>9</v>
      </c>
      <c r="D23" s="169" t="str">
        <f>IF(Init!I6=1,IF(POULE1!$C$5="","",POULE1!$C$5),IF(POULE1!$C$5="","",POULE1!$F$5&amp;" / "&amp;POULE1!$G$5))</f>
        <v>1G1</v>
      </c>
      <c r="F23" s="356"/>
      <c r="G23" s="11" t="s">
        <v>1</v>
      </c>
      <c r="H23" s="357"/>
      <c r="I23" s="8"/>
      <c r="J23" s="3"/>
      <c r="K23" s="3"/>
      <c r="L23" s="9" t="str">
        <f t="shared" si="0"/>
        <v xml:space="preserve"> </v>
      </c>
      <c r="M23" s="12"/>
      <c r="N23" s="10" t="str">
        <f t="shared" si="1"/>
        <v/>
      </c>
    </row>
    <row r="24" spans="1:40" ht="18" x14ac:dyDescent="0.2">
      <c r="A24" s="2">
        <v>20</v>
      </c>
      <c r="B24" s="174" t="str">
        <f>IF(Init!I6=1,IF(POULE1!$C$6="","",POULE1!$C$6),IF(POULE1!$C$6="","",POULE1!$F$6&amp;" / "&amp;POULE1!$G$6))</f>
        <v>2n1</v>
      </c>
      <c r="C24" s="175" t="s">
        <v>9</v>
      </c>
      <c r="D24" s="171" t="str">
        <f>IF(Init!I6=1,IF(POULE1!$C$8="","",POULE1!$C$8),IF(POULE1!$C$8="","",POULE1!$F$8&amp;" / "&amp;POULE1!$G$8))</f>
        <v>1STMG3</v>
      </c>
      <c r="F24" s="15"/>
      <c r="G24" s="11" t="s">
        <v>1</v>
      </c>
      <c r="H24" s="17"/>
      <c r="I24" s="8"/>
      <c r="J24" s="3"/>
      <c r="K24" s="3"/>
      <c r="L24" s="9" t="str">
        <f t="shared" si="0"/>
        <v xml:space="preserve"> </v>
      </c>
      <c r="M24" s="12"/>
      <c r="N24" s="10" t="str">
        <f t="shared" si="1"/>
        <v/>
      </c>
    </row>
    <row r="25" spans="1:40" ht="18.75" thickBot="1" x14ac:dyDescent="0.25">
      <c r="A25" s="2">
        <v>21</v>
      </c>
      <c r="B25" s="281" t="str">
        <f>IF(Init!I6=1,IF(POULE1!$C$8="","",POULE1!$C$4),IF(POULE1!$C$4="","",POULE1!$F$4&amp;" / "&amp;POULE1!$G$4))</f>
        <v>2n11</v>
      </c>
      <c r="C25" s="175" t="s">
        <v>9</v>
      </c>
      <c r="D25" s="173" t="str">
        <f>IF(Init!I6=1,IF(POULE1!$C$7="","",POULE1!$C$7),IF(POULE1!$C$7="","",POULE1!$F$7&amp;" / "&amp;POULE1!$G$7))</f>
        <v>TAGORA</v>
      </c>
      <c r="F25" s="16"/>
      <c r="G25" s="19" t="s">
        <v>1</v>
      </c>
      <c r="H25" s="18"/>
      <c r="I25" s="8"/>
      <c r="J25" s="3"/>
      <c r="K25" s="3"/>
      <c r="L25" s="9" t="str">
        <f t="shared" si="0"/>
        <v xml:space="preserve"> </v>
      </c>
      <c r="M25" s="12"/>
      <c r="N25" s="10" t="str">
        <f t="shared" si="1"/>
        <v/>
      </c>
    </row>
    <row r="26" spans="1:40" x14ac:dyDescent="0.2">
      <c r="G26"/>
      <c r="M26"/>
    </row>
    <row r="27" spans="1:40" x14ac:dyDescent="0.2">
      <c r="G27"/>
      <c r="M27"/>
    </row>
    <row r="28" spans="1:40" x14ac:dyDescent="0.2">
      <c r="G28"/>
      <c r="M28"/>
    </row>
    <row r="29" spans="1:40" x14ac:dyDescent="0.2">
      <c r="G29"/>
      <c r="M29"/>
    </row>
  </sheetData>
  <sheetProtection sheet="1" objects="1" scenarios="1"/>
  <mergeCells count="3">
    <mergeCell ref="F4:H4"/>
    <mergeCell ref="P8:R8"/>
    <mergeCell ref="L4:N4"/>
  </mergeCells>
  <phoneticPr fontId="0" type="noConversion"/>
  <conditionalFormatting sqref="L5:L25 N5:N25">
    <cfRule type="cellIs" dxfId="36" priority="1" stopIfTrue="1" operator="equal">
      <formula>3</formula>
    </cfRule>
    <cfRule type="cellIs" dxfId="35" priority="2" stopIfTrue="1" operator="equal">
      <formula>2</formula>
    </cfRule>
    <cfRule type="cellIs" dxfId="34" priority="3" stopIfTrue="1" operator="equal">
      <formula>1</formula>
    </cfRule>
  </conditionalFormatting>
  <pageMargins left="0.78740157499999996" right="0.78740157499999996" top="0.984251969" bottom="0.984251969" header="0.4921259845" footer="0.4921259845"/>
  <pageSetup paperSize="9" orientation="landscape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efface_score">
                <anchor moveWithCells="1" sizeWithCells="1">
                  <from>
                    <xdr:col>15</xdr:col>
                    <xdr:colOff>9525</xdr:colOff>
                    <xdr:row>3</xdr:row>
                    <xdr:rowOff>371475</xdr:rowOff>
                  </from>
                  <to>
                    <xdr:col>18</xdr:col>
                    <xdr:colOff>9525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change_pouleB">
                <anchor moveWithCells="1" sizeWithCells="1">
                  <from>
                    <xdr:col>16</xdr:col>
                    <xdr:colOff>0</xdr:colOff>
                    <xdr:row>11</xdr:row>
                    <xdr:rowOff>0</xdr:rowOff>
                  </from>
                  <to>
                    <xdr:col>18</xdr:col>
                    <xdr:colOff>57150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change_pouleC">
                <anchor moveWithCells="1" siz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57150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7">
    <tabColor rgb="FF92D050"/>
  </sheetPr>
  <dimension ref="A2:AN30"/>
  <sheetViews>
    <sheetView showGridLines="0" zoomScaleNormal="100" workbookViewId="0">
      <selection activeCell="F5" sqref="F5:F25 H5:H25"/>
    </sheetView>
  </sheetViews>
  <sheetFormatPr baseColWidth="10" defaultColWidth="11.5703125" defaultRowHeight="12.75" x14ac:dyDescent="0.2"/>
  <cols>
    <col min="1" max="1" width="3.42578125" bestFit="1" customWidth="1"/>
    <col min="2" max="2" width="22" customWidth="1"/>
    <col min="3" max="3" width="1.85546875" style="5" customWidth="1"/>
    <col min="4" max="4" width="21.5703125" customWidth="1"/>
    <col min="5" max="5" width="3.5703125" style="28" customWidth="1"/>
    <col min="6" max="6" width="5.7109375" customWidth="1"/>
    <col min="7" max="7" width="2.85546875" style="4" customWidth="1"/>
    <col min="8" max="8" width="5.7109375" style="1" customWidth="1"/>
    <col min="9" max="9" width="3.42578125" hidden="1" customWidth="1"/>
    <col min="10" max="11" width="3.140625" hidden="1" customWidth="1"/>
    <col min="12" max="12" width="8" customWidth="1"/>
    <col min="13" max="13" width="2.7109375" style="4" customWidth="1"/>
    <col min="14" max="14" width="6.7109375" customWidth="1"/>
    <col min="15" max="15" width="2.7109375" customWidth="1"/>
    <col min="16" max="16" width="8.85546875" customWidth="1"/>
    <col min="17" max="18" width="8.28515625" customWidth="1"/>
    <col min="19" max="19" width="8.5703125" customWidth="1"/>
    <col min="20" max="20" width="9" customWidth="1"/>
    <col min="21" max="21" width="10.7109375" customWidth="1"/>
    <col min="22" max="25" width="3.5703125" customWidth="1"/>
    <col min="26" max="27" width="1.85546875" customWidth="1"/>
    <col min="28" max="28" width="3.7109375" customWidth="1"/>
    <col min="29" max="29" width="3.42578125" customWidth="1"/>
    <col min="30" max="30" width="3" customWidth="1"/>
    <col min="31" max="31" width="2.7109375" customWidth="1"/>
  </cols>
  <sheetData>
    <row r="2" spans="1:40" x14ac:dyDescent="0.2">
      <c r="F2" s="186" t="str">
        <f>"Résultats Poule 2 Gymnase "&amp;Init!I7</f>
        <v>Résultats Poule 2 Gymnase Lycée</v>
      </c>
      <c r="U2" s="102"/>
    </row>
    <row r="3" spans="1:40" ht="13.5" thickBot="1" x14ac:dyDescent="0.25">
      <c r="C3" s="27"/>
      <c r="G3"/>
      <c r="M3"/>
      <c r="R3" s="2"/>
      <c r="S3" s="2"/>
      <c r="T3" s="2"/>
    </row>
    <row r="4" spans="1:40" s="2" customFormat="1" ht="30" customHeight="1" thickBot="1" x14ac:dyDescent="0.25">
      <c r="B4" s="23" t="s">
        <v>2</v>
      </c>
      <c r="C4" s="24" t="s">
        <v>9</v>
      </c>
      <c r="D4" s="25" t="s">
        <v>2</v>
      </c>
      <c r="E4" s="29"/>
      <c r="F4" s="413" t="s">
        <v>10</v>
      </c>
      <c r="G4" s="414"/>
      <c r="H4" s="415"/>
      <c r="I4" s="26"/>
      <c r="J4" s="26"/>
      <c r="K4" s="26"/>
      <c r="L4" s="417" t="s">
        <v>11</v>
      </c>
      <c r="M4" s="418"/>
      <c r="N4" s="419"/>
      <c r="U4" s="253"/>
      <c r="V4" s="253"/>
      <c r="W4" s="253"/>
      <c r="X4" s="253"/>
      <c r="Y4" s="253"/>
      <c r="Z4" s="253"/>
      <c r="AA4" s="253"/>
      <c r="AB4" s="326" t="s">
        <v>197</v>
      </c>
      <c r="AC4" s="326" t="s">
        <v>198</v>
      </c>
      <c r="AD4" s="326" t="s">
        <v>199</v>
      </c>
      <c r="AE4" s="253"/>
    </row>
    <row r="5" spans="1:40" s="2" customFormat="1" ht="18" customHeight="1" x14ac:dyDescent="0.2">
      <c r="A5" s="2">
        <v>1</v>
      </c>
      <c r="B5" s="170" t="str">
        <f>IF(Init!I6=1,IF('POULE 2'!$C$3="","",'POULE 2'!$C$3),IF('POULE 2'!$C$3="","",'POULE 2'!$F$3&amp;" / "&amp;'POULE 2'!$G$3))</f>
        <v>TG3</v>
      </c>
      <c r="C5" s="175" t="s">
        <v>9</v>
      </c>
      <c r="D5" s="281" t="str">
        <f>IF(Init!I6=1,IF('POULE 2'!$C$8="","",'POULE 2'!$C$4),IF('POULE 2'!$C$4="","",'POULE 2'!$F$4&amp;" / "&amp;'POULE 2'!$G$4))</f>
        <v>2n10</v>
      </c>
      <c r="E5" s="29"/>
      <c r="F5" s="14"/>
      <c r="G5" s="11" t="s">
        <v>1</v>
      </c>
      <c r="H5" s="17"/>
      <c r="I5" s="8">
        <v>5</v>
      </c>
      <c r="J5" s="3">
        <v>5</v>
      </c>
      <c r="K5" s="3"/>
      <c r="L5" s="9" t="str">
        <f>IF(OR(F5="",H5="")," ",IF(OR(F5=-1,H5=-1),0,IF(F5&gt;H5,$P$10,IF(F5=H5,$Q$10,$R$10))))</f>
        <v xml:space="preserve"> </v>
      </c>
      <c r="M5" s="12"/>
      <c r="N5" s="10" t="str">
        <f>IF(OR(F5="",H5=""),"",IF(OR(F5=-1,H5=-1),0,IF(H5&gt;F5,$P$10,IF(H5=F5,$Q$10,$R$10))))</f>
        <v/>
      </c>
      <c r="U5" s="326" t="str">
        <f>IF(Init!$I$6=1,('POULE 2'!B3&amp;" / "&amp;'POULE 2'!C3),('POULE 2'!F3&amp;" / "&amp;'POULE 2'!G3))</f>
        <v>A2 / TG3</v>
      </c>
      <c r="V5" s="291">
        <f>IF(L5=0,"",IF(L5=3,1,IF(L5=2,0.5,0)))</f>
        <v>0</v>
      </c>
      <c r="W5" s="291">
        <f>IF(N8=0,"",IF(N8=3,1,IF(N8=2,0.5,0)))</f>
        <v>0</v>
      </c>
      <c r="X5" s="291">
        <f>IF(N12=3,1,IF(N12=2,0.5,0))</f>
        <v>0</v>
      </c>
      <c r="Y5" s="291">
        <f>IF(N15=3,1,IF(N15=2,0.5,0))</f>
        <v>0</v>
      </c>
      <c r="Z5" s="291">
        <f>IF(L19=3,1,IF(L19=2,0.5,0))</f>
        <v>0</v>
      </c>
      <c r="AA5" s="291">
        <f>IF(L22=3,1,IF(L22=2,0.5,0))</f>
        <v>0</v>
      </c>
      <c r="AB5" s="291">
        <f>COUNTIF(V5:AA5,1)</f>
        <v>0</v>
      </c>
      <c r="AC5" s="291">
        <f>COUNTIF(V5:AA5,0)</f>
        <v>6</v>
      </c>
      <c r="AD5" s="291">
        <f>COUNTIF(V5:AA5,0.5)</f>
        <v>0</v>
      </c>
      <c r="AE5" s="133">
        <f>(AB5*3)+(AC5)+(AD5*2)</f>
        <v>6</v>
      </c>
    </row>
    <row r="6" spans="1:40" s="2" customFormat="1" ht="18" customHeight="1" x14ac:dyDescent="0.2">
      <c r="A6" s="2">
        <v>2</v>
      </c>
      <c r="B6" s="169" t="str">
        <f>IF(Init!I6=1,IF('POULE 2'!$C$5="","",'POULE 2'!$C$5),IF('POULE 2'!$C$5="","",'POULE 2'!$F$5&amp;" / "&amp;'POULE 2'!$G$5))</f>
        <v>1G2</v>
      </c>
      <c r="C6" s="175" t="s">
        <v>9</v>
      </c>
      <c r="D6" s="174" t="str">
        <f>IF(Init!I6=1,IF('POULE 2'!$C$6="","",'POULE 2'!$C$6),IF('POULE 2'!$C$6="","",'POULE 2'!$F$6&amp;" / "&amp;'POULE 2'!$G$6))</f>
        <v>2n6</v>
      </c>
      <c r="E6" s="29"/>
      <c r="F6" s="15"/>
      <c r="G6" s="11" t="s">
        <v>1</v>
      </c>
      <c r="H6" s="17"/>
      <c r="I6" s="8">
        <v>16</v>
      </c>
      <c r="J6" s="3">
        <v>16</v>
      </c>
      <c r="K6" s="3"/>
      <c r="L6" s="9" t="str">
        <f t="shared" ref="L6:L25" si="0">IF(OR(F6="",H6="")," ",IF(OR(F6=-1,H6=-1),0,IF(F6&gt;H6,$P$10,IF(F6=H6,$Q$10,$R$10))))</f>
        <v xml:space="preserve"> </v>
      </c>
      <c r="M6" s="12"/>
      <c r="N6" s="10" t="str">
        <f t="shared" ref="N6:N25" si="1">IF(OR(F6="",H6=""),"",IF(OR(F6=-1,H6=-1),0,IF(H6&gt;F6,$P$10,IF(H6=F6,$Q$10,$R$10))))</f>
        <v/>
      </c>
      <c r="U6" s="326" t="str">
        <f>IF(Init!$I$6=1,('POULE 2'!B4&amp;" / "&amp;'POULE 2'!C4),('POULE 2'!F4&amp;" / "&amp;'POULE 2'!G4))</f>
        <v>B2 / 2n10</v>
      </c>
      <c r="V6" s="291">
        <f>IF(N5=3,1,IF(N5=2,0.5,0))</f>
        <v>0</v>
      </c>
      <c r="W6" s="291">
        <f>IF(L9=0,"",IF(L9=3,1,IF(L9=2,0.5,0)))</f>
        <v>0</v>
      </c>
      <c r="X6" s="291">
        <f>IF(L13=3,1,IF(L13=2,0.5,0))</f>
        <v>0</v>
      </c>
      <c r="Y6" s="291">
        <f>IF(L16=0,"",IF(L16=3,1,IF(L16=2,0.5,0)))</f>
        <v>0</v>
      </c>
      <c r="Z6" s="291">
        <f>IF(L20=3,1,IF(L20=2,0.5,0))</f>
        <v>0</v>
      </c>
      <c r="AA6" s="291">
        <f>IF(L25=3,1,IF(L25=2,0.5,0))</f>
        <v>0</v>
      </c>
      <c r="AB6" s="291">
        <f t="shared" ref="AB6:AB11" si="2">COUNTIF(V6:AA6,1)</f>
        <v>0</v>
      </c>
      <c r="AC6" s="291">
        <f t="shared" ref="AC6:AC11" si="3">COUNTIF(V6:AA6,0)</f>
        <v>6</v>
      </c>
      <c r="AD6" s="291">
        <f t="shared" ref="AD6:AD11" si="4">COUNTIF(V6:AA6,0.5)</f>
        <v>0</v>
      </c>
      <c r="AE6" s="133">
        <f t="shared" ref="AE6:AE11" si="5">(AB6*3)+(AC6)+(AD6*2)</f>
        <v>6</v>
      </c>
    </row>
    <row r="7" spans="1:40" s="2" customFormat="1" ht="18" customHeight="1" x14ac:dyDescent="0.2">
      <c r="A7" s="2">
        <v>3</v>
      </c>
      <c r="B7" s="171" t="str">
        <f>IF(Init!I6=1,IF('POULE 2'!$C$8="","",'POULE 2'!$C$8),IF('POULE 2'!$C$8="","",'POULE 2'!$F$8&amp;" / "&amp;'POULE 2'!$G$8))</f>
        <v>1G6</v>
      </c>
      <c r="C7" s="175" t="s">
        <v>9</v>
      </c>
      <c r="D7" s="173" t="str">
        <f>IF(Init!I6=1,IF('POULE 2'!$C$7="","",'POULE 2'!$C$7),IF('POULE 2'!$C$7="","",'POULE 2'!$F$7&amp;" / "&amp;'POULE 2'!$G$7))</f>
        <v>TSTMG1</v>
      </c>
      <c r="E7" s="29"/>
      <c r="F7" s="15"/>
      <c r="G7" s="11" t="s">
        <v>1</v>
      </c>
      <c r="H7" s="17"/>
      <c r="I7" s="8">
        <v>10</v>
      </c>
      <c r="J7" s="3">
        <v>10</v>
      </c>
      <c r="K7" s="3"/>
      <c r="L7" s="9" t="str">
        <f t="shared" si="0"/>
        <v xml:space="preserve"> </v>
      </c>
      <c r="M7" s="12"/>
      <c r="N7" s="10" t="str">
        <f t="shared" si="1"/>
        <v/>
      </c>
      <c r="U7" s="326" t="str">
        <f>IF(Init!$I$6=1,('POULE 2'!B5&amp;" / "&amp;'POULE 2'!C5),('POULE 2'!F5&amp;" / "&amp;'POULE 2'!G5))</f>
        <v>C2 / 1G2</v>
      </c>
      <c r="V7" s="291">
        <f>IF(L6=3,1,IF(L6=2,0.5,0))</f>
        <v>0</v>
      </c>
      <c r="W7" s="291">
        <f>IF(L10=0,"",IF(L10=3,1,IF(L10=2,0.5,0)))</f>
        <v>0</v>
      </c>
      <c r="X7" s="291">
        <f>IF(N13=3,1,IF(N13=2,0.5,0))</f>
        <v>0</v>
      </c>
      <c r="Y7" s="291">
        <f>IF(L17=0,"",IF(L17=3,1,IF(L17=2,0.5,0)))</f>
        <v>0</v>
      </c>
      <c r="Z7" s="291">
        <f>IF(N19=3,1,IF(N19=2,0.5,0))</f>
        <v>0</v>
      </c>
      <c r="AA7" s="291">
        <f>IF(N23=0,"",IF(N23=3,1,IF(N23=2,0.5,0)))</f>
        <v>0</v>
      </c>
      <c r="AB7" s="291">
        <f t="shared" si="2"/>
        <v>0</v>
      </c>
      <c r="AC7" s="291">
        <f t="shared" si="3"/>
        <v>6</v>
      </c>
      <c r="AD7" s="291">
        <f t="shared" si="4"/>
        <v>0</v>
      </c>
      <c r="AE7" s="133">
        <f t="shared" si="5"/>
        <v>6</v>
      </c>
    </row>
    <row r="8" spans="1:40" s="2" customFormat="1" ht="18" customHeight="1" thickBot="1" x14ac:dyDescent="0.25">
      <c r="A8" s="2">
        <v>4</v>
      </c>
      <c r="B8" s="172" t="str">
        <f>IF(Init!I6=1,IF('POULE 2'!$C$9="","",'POULE 2'!$B$9&amp;" / "&amp;'POULE 2'!$C$9),IF('POULE 2'!$C$9="","",'POULE 2'!$F$9&amp;" / "&amp;'POULE 2'!$G$9))</f>
        <v/>
      </c>
      <c r="C8" s="175" t="s">
        <v>9</v>
      </c>
      <c r="D8" s="170" t="str">
        <f>IF(Init!I6=1,IF('POULE 2'!$C$3="","",'POULE 2'!$C$3),IF('POULE 2'!$C$3="","",'POULE 2'!$F$3&amp;" / "&amp;'POULE 2'!$G$3))</f>
        <v>TG3</v>
      </c>
      <c r="E8" s="29"/>
      <c r="F8" s="15"/>
      <c r="G8" s="11" t="s">
        <v>1</v>
      </c>
      <c r="H8" s="17"/>
      <c r="I8" s="8">
        <v>11</v>
      </c>
      <c r="J8" s="3">
        <v>11</v>
      </c>
      <c r="K8" s="3"/>
      <c r="L8" s="9" t="str">
        <f t="shared" si="0"/>
        <v xml:space="preserve"> </v>
      </c>
      <c r="M8" s="12"/>
      <c r="N8" s="10" t="str">
        <f t="shared" si="1"/>
        <v/>
      </c>
      <c r="P8" s="416" t="s">
        <v>5</v>
      </c>
      <c r="Q8" s="416"/>
      <c r="R8" s="416"/>
      <c r="S8" s="6"/>
      <c r="T8" s="6"/>
      <c r="U8" s="326" t="str">
        <f>IF(Init!$I$6=1,('POULE 2'!B6&amp;" / "&amp;'POULE 2'!C6),('POULE 2'!F6&amp;" / "&amp;'POULE 2'!G6))</f>
        <v>D2 / 2n6</v>
      </c>
      <c r="V8" s="291">
        <f>IF(N6=3,1,IF(N6=2,0.5,0))</f>
        <v>0</v>
      </c>
      <c r="W8" s="291">
        <f>IF(N9=0,"",IF(N9=3,1,IF(N9=2,0.5,0)))</f>
        <v>0</v>
      </c>
      <c r="X8" s="291">
        <f>IF(L12=3,1,IF(L12=2,0.5,0))</f>
        <v>0</v>
      </c>
      <c r="Y8" s="291">
        <f>IF(L18=0,"",IF(L18=3,1,IF(L18=2,0.5,0)))</f>
        <v>0</v>
      </c>
      <c r="Z8" s="291">
        <f>IF(L21=0,"",IF(L21=3,1,IF(L21=2,0.5,0)))</f>
        <v>0</v>
      </c>
      <c r="AA8" s="291">
        <f>IF(L24=0,"",IF(L24=3,1,IF(N24=2,0.5,0)))</f>
        <v>0</v>
      </c>
      <c r="AB8" s="291">
        <f t="shared" si="2"/>
        <v>0</v>
      </c>
      <c r="AC8" s="291">
        <f t="shared" si="3"/>
        <v>6</v>
      </c>
      <c r="AD8" s="291">
        <f t="shared" si="4"/>
        <v>0</v>
      </c>
      <c r="AE8" s="133">
        <f t="shared" si="5"/>
        <v>6</v>
      </c>
    </row>
    <row r="9" spans="1:40" s="2" customFormat="1" ht="18" customHeight="1" x14ac:dyDescent="0.2">
      <c r="A9" s="2">
        <v>5</v>
      </c>
      <c r="B9" s="281" t="str">
        <f>IF(Init!I6=1,IF('POULE 2'!$C$8="","",'POULE 2'!$C$4),IF('POULE 2'!$C$4="","",'POULE 2'!$F$4&amp;" / "&amp;'POULE 2'!$G$4))</f>
        <v>2n10</v>
      </c>
      <c r="C9" s="175" t="s">
        <v>9</v>
      </c>
      <c r="D9" s="174" t="str">
        <f>IF(Init!I6=1,IF('POULE 2'!$C$6="","",'POULE 2'!$C$6),IF('POULE 2'!$C$6="","",'POULE 2'!$F$6&amp;" / "&amp;'POULE 2'!$G$6))</f>
        <v>2n6</v>
      </c>
      <c r="E9" s="29"/>
      <c r="F9" s="15"/>
      <c r="G9" s="11" t="s">
        <v>1</v>
      </c>
      <c r="H9" s="17"/>
      <c r="I9" s="8">
        <v>13</v>
      </c>
      <c r="J9" s="3">
        <v>13</v>
      </c>
      <c r="K9" s="3"/>
      <c r="L9" s="9" t="str">
        <f t="shared" si="0"/>
        <v xml:space="preserve"> </v>
      </c>
      <c r="M9" s="12"/>
      <c r="N9" s="10" t="str">
        <f t="shared" si="1"/>
        <v/>
      </c>
      <c r="P9" s="30" t="s">
        <v>6</v>
      </c>
      <c r="Q9" s="31" t="s">
        <v>7</v>
      </c>
      <c r="R9" s="32" t="s">
        <v>8</v>
      </c>
      <c r="S9" s="6"/>
      <c r="T9" s="6"/>
      <c r="U9" s="326" t="str">
        <f>IF(Init!$I$6=1,('POULE 2'!B7&amp;" / "&amp;'POULE 2'!C7),('POULE 2'!F7&amp;" / "&amp;'POULE 2'!G7))</f>
        <v>E2 / TSTMG1</v>
      </c>
      <c r="V9" s="291">
        <f>IF(N7=3,1,IF(N7=2,0.5,0))</f>
        <v>0</v>
      </c>
      <c r="W9" s="291">
        <f>IF(N10=0,"",IF(N10=3,1,IF(N10=2,0.5,0)))</f>
        <v>0</v>
      </c>
      <c r="X9" s="291">
        <f>IF(L14=0,"",IF(L14=3,1,IF(L14=2,0.5,0)))</f>
        <v>0</v>
      </c>
      <c r="Y9" s="291">
        <f>IF(N18=0,"",IF(N18=3,1,IF(N18=2,0.5,0)))</f>
        <v>0</v>
      </c>
      <c r="Z9" s="291">
        <f>IF(N22=0,"",IF(N22=3,1,IF(N22=2,0.5,0)))</f>
        <v>0</v>
      </c>
      <c r="AA9" s="291">
        <f>IF(N25=0,"",IF(N25=3,1,IF(N25=2,0.5,0)))</f>
        <v>0</v>
      </c>
      <c r="AB9" s="291">
        <f t="shared" si="2"/>
        <v>0</v>
      </c>
      <c r="AC9" s="291">
        <f t="shared" si="3"/>
        <v>6</v>
      </c>
      <c r="AD9" s="291">
        <f t="shared" si="4"/>
        <v>0</v>
      </c>
      <c r="AE9" s="133">
        <f t="shared" si="5"/>
        <v>6</v>
      </c>
    </row>
    <row r="10" spans="1:40" s="2" customFormat="1" ht="18" customHeight="1" thickBot="1" x14ac:dyDescent="0.25">
      <c r="A10" s="2">
        <v>6</v>
      </c>
      <c r="B10" s="169" t="str">
        <f>IF(Init!I6=1,IF('POULE 2'!$C$5="","",'POULE 2'!$C$5),IF('POULE 2'!$C$5="","",'POULE 2'!$F$5&amp;" / "&amp;'POULE 2'!$G$5))</f>
        <v>1G2</v>
      </c>
      <c r="C10" s="175" t="s">
        <v>9</v>
      </c>
      <c r="D10" s="173" t="str">
        <f>IF(Init!I6=1,IF('POULE 2'!$C$7="","",'POULE 2'!$C$7),IF('POULE 2'!$C$7="","",'POULE 2'!$F$7&amp;" / "&amp;'POULE 2'!$G$7))</f>
        <v>TSTMG1</v>
      </c>
      <c r="E10" s="29"/>
      <c r="F10" s="15"/>
      <c r="G10" s="11" t="s">
        <v>1</v>
      </c>
      <c r="H10" s="17"/>
      <c r="I10" s="8">
        <v>18</v>
      </c>
      <c r="J10" s="3">
        <v>18</v>
      </c>
      <c r="K10" s="3"/>
      <c r="L10" s="9" t="str">
        <f t="shared" si="0"/>
        <v xml:space="preserve"> </v>
      </c>
      <c r="M10" s="12"/>
      <c r="N10" s="10" t="str">
        <f t="shared" si="1"/>
        <v/>
      </c>
      <c r="P10" s="33">
        <v>3</v>
      </c>
      <c r="Q10" s="34">
        <v>2</v>
      </c>
      <c r="R10" s="34">
        <v>1</v>
      </c>
      <c r="U10" s="326" t="str">
        <f>IF(Init!$I$6=1,('POULE 2'!B8&amp;" / "&amp;'POULE 2'!C8),('POULE 2'!F8&amp;" / "&amp;'POULE 2'!G8))</f>
        <v>F2 / 1G6</v>
      </c>
      <c r="V10" s="291">
        <f>IF(L7=3,1,IF(L7=2,0.5,0))</f>
        <v>0</v>
      </c>
      <c r="W10" s="291">
        <f>IF(N11=0,"",IF(N11=3,1,IF(N11=2,0.5,0)))</f>
        <v>0</v>
      </c>
      <c r="X10" s="291">
        <f>IF(L15=0,"",IF(L15=3,1,IF(L15=2,0.5,0)))</f>
        <v>0</v>
      </c>
      <c r="Y10" s="291">
        <f>IF(N17=0,"",IF(N17=3,1,IF(N17=2,0.5,0)))</f>
        <v>0</v>
      </c>
      <c r="Z10" s="291">
        <f>IF(N20=0,"",IF(N20=3,1,IF(N20=2,0.5,0)))</f>
        <v>0</v>
      </c>
      <c r="AA10" s="291">
        <f>IF(N24=0,"",IF(N24=3,1,IF(N24=2,0.5,0)))</f>
        <v>0</v>
      </c>
      <c r="AB10" s="291">
        <f t="shared" si="2"/>
        <v>0</v>
      </c>
      <c r="AC10" s="291">
        <f t="shared" si="3"/>
        <v>6</v>
      </c>
      <c r="AD10" s="291">
        <f t="shared" si="4"/>
        <v>0</v>
      </c>
      <c r="AE10" s="133">
        <f t="shared" si="5"/>
        <v>6</v>
      </c>
    </row>
    <row r="11" spans="1:40" s="2" customFormat="1" ht="18" customHeight="1" x14ac:dyDescent="0.2">
      <c r="A11" s="2">
        <v>7</v>
      </c>
      <c r="B11" s="172" t="str">
        <f>IF(Init!I6=1,IF('POULE 2'!$C$9="","",'POULE 2'!$B$9&amp;" / "&amp;'POULE 2'!$C$9),IF('POULE 2'!$C$9="","",'POULE 2'!$F$9&amp;" / "&amp;'POULE 2'!$G$9))</f>
        <v/>
      </c>
      <c r="C11" s="175" t="s">
        <v>9</v>
      </c>
      <c r="D11" s="171" t="str">
        <f>IF(Init!I6=1,IF('POULE 2'!$C$8="","",'POULE 2'!$C$8),IF('POULE 2'!$C$8="","",'POULE 2'!$F$8&amp;" / "&amp;'POULE 2'!$G$8))</f>
        <v>1G6</v>
      </c>
      <c r="E11" s="29"/>
      <c r="F11" s="15"/>
      <c r="G11" s="11" t="s">
        <v>1</v>
      </c>
      <c r="H11" s="17"/>
      <c r="I11" s="8">
        <v>12</v>
      </c>
      <c r="J11" s="3">
        <v>12</v>
      </c>
      <c r="K11" s="3"/>
      <c r="L11" s="9" t="str">
        <f t="shared" si="0"/>
        <v xml:space="preserve"> </v>
      </c>
      <c r="M11" s="12"/>
      <c r="N11" s="10" t="str">
        <f t="shared" si="1"/>
        <v/>
      </c>
      <c r="U11" s="326" t="str">
        <f>IF(Init!$I$6=1,('POULE 2'!B9&amp;" / "&amp;'POULE 2'!C9),('POULE 2'!F9&amp;" / "&amp;'POULE 2'!G9))</f>
        <v xml:space="preserve">G2 / </v>
      </c>
      <c r="V11" s="291">
        <f>IF(L8=0,"",IF(L8=3,1,IF(L8=2,0.5,0)))</f>
        <v>0</v>
      </c>
      <c r="W11" s="291">
        <f>IF(L11=0,"",IF(L11=3,1,IF(L11=2,0.5,0)))</f>
        <v>0</v>
      </c>
      <c r="X11" s="291">
        <f>IF(N14=0,"",IF(N14=3,1,IF(N14=2,0.5,0)))</f>
        <v>0</v>
      </c>
      <c r="Y11" s="291">
        <f>IF(N16=0,"",IF(N16=3,1,IF(N16=2,0.5,0)))</f>
        <v>0</v>
      </c>
      <c r="Z11" s="291">
        <f>IF(N21=0,"",IF(N21=3,1,IF(N21=2,0.5,0)))</f>
        <v>0</v>
      </c>
      <c r="AA11" s="291">
        <f>IF(L23=0,"",IF(L23=3,1,IF(L23=2,0.5,0)))</f>
        <v>0</v>
      </c>
      <c r="AB11" s="291">
        <f t="shared" si="2"/>
        <v>0</v>
      </c>
      <c r="AC11" s="291">
        <f t="shared" si="3"/>
        <v>6</v>
      </c>
      <c r="AD11" s="291">
        <f t="shared" si="4"/>
        <v>0</v>
      </c>
      <c r="AE11" s="133">
        <f t="shared" si="5"/>
        <v>6</v>
      </c>
    </row>
    <row r="12" spans="1:40" s="2" customFormat="1" ht="18" customHeight="1" x14ac:dyDescent="0.2">
      <c r="A12" s="2">
        <v>8</v>
      </c>
      <c r="B12" s="174" t="str">
        <f>IF(Init!I6=1,IF('POULE 2'!$C$6="","",'POULE 2'!$C$6),IF('POULE 2'!$C$6="","",'POULE 2'!$F$6&amp;" / "&amp;'POULE 2'!$G$6))</f>
        <v>2n6</v>
      </c>
      <c r="C12" s="175" t="s">
        <v>9</v>
      </c>
      <c r="D12" s="170" t="str">
        <f>IF(Init!I6=1,IF('POULE 2'!$C$3="","",'POULE 2'!$C$3),IF('POULE 2'!$C$3="","",'POULE 2'!$F$3&amp;" / "&amp;'POULE 2'!$G$3))</f>
        <v>TG3</v>
      </c>
      <c r="E12" s="29"/>
      <c r="F12" s="15"/>
      <c r="G12" s="11" t="s">
        <v>1</v>
      </c>
      <c r="H12" s="17"/>
      <c r="I12" s="8">
        <v>2</v>
      </c>
      <c r="J12" s="3">
        <v>2</v>
      </c>
      <c r="K12" s="3"/>
      <c r="L12" s="9" t="str">
        <f t="shared" si="0"/>
        <v xml:space="preserve"> </v>
      </c>
      <c r="M12" s="12"/>
      <c r="N12" s="10" t="str">
        <f t="shared" si="1"/>
        <v/>
      </c>
    </row>
    <row r="13" spans="1:40" s="2" customFormat="1" ht="18" customHeight="1" x14ac:dyDescent="0.2">
      <c r="A13" s="2">
        <v>9</v>
      </c>
      <c r="B13" s="281" t="str">
        <f>IF(Init!I6=1,IF('POULE 2'!$C$8="","",'POULE 2'!$C$4),IF('POULE 2'!$C$4="","",'POULE 2'!$F$4&amp;" / "&amp;'POULE 2'!$G$4))</f>
        <v>2n10</v>
      </c>
      <c r="C13" s="175" t="s">
        <v>9</v>
      </c>
      <c r="D13" s="169" t="str">
        <f>IF(Init!I6=1,IF('POULE 2'!$C$5="","",'POULE 2'!$C$5),IF('POULE 2'!$C$5="","",'POULE 2'!$F$5&amp;" / "&amp;'POULE 2'!$G$5))</f>
        <v>1G2</v>
      </c>
      <c r="E13" s="29"/>
      <c r="F13" s="15"/>
      <c r="G13" s="11" t="s">
        <v>1</v>
      </c>
      <c r="H13" s="17"/>
      <c r="I13" s="8">
        <v>14</v>
      </c>
      <c r="J13" s="3">
        <v>14</v>
      </c>
      <c r="K13" s="3"/>
      <c r="L13" s="9" t="str">
        <f t="shared" si="0"/>
        <v xml:space="preserve"> </v>
      </c>
      <c r="M13" s="12"/>
      <c r="N13" s="10" t="str">
        <f t="shared" si="1"/>
        <v/>
      </c>
    </row>
    <row r="14" spans="1:40" s="2" customFormat="1" ht="18" customHeight="1" x14ac:dyDescent="0.2">
      <c r="A14" s="2">
        <v>10</v>
      </c>
      <c r="B14" s="173" t="str">
        <f>IF(Init!I6=1,IF('POULE 2'!$C$7="","",'POULE 2'!$C$7),IF('POULE 2'!$C$7="","",'POULE 2'!$F$7&amp;" / "&amp;'POULE 2'!$G$7))</f>
        <v>TSTMG1</v>
      </c>
      <c r="C14" s="175" t="s">
        <v>9</v>
      </c>
      <c r="D14" s="172" t="str">
        <f>IF(Init!I6=1,IF('POULE 2'!$C$9="","",'POULE 2'!$B$9&amp;" / "&amp;'POULE 2'!$C$9),IF('POULE 2'!$C$9="","",'POULE 2'!$F$9&amp;" / "&amp;'POULE 2'!$G$9))</f>
        <v/>
      </c>
      <c r="E14" s="29"/>
      <c r="F14" s="15"/>
      <c r="G14" s="11" t="s">
        <v>1</v>
      </c>
      <c r="H14" s="17"/>
      <c r="I14" s="8">
        <v>8</v>
      </c>
      <c r="J14" s="3">
        <v>8</v>
      </c>
      <c r="K14" s="3"/>
      <c r="L14" s="9" t="str">
        <f t="shared" si="0"/>
        <v xml:space="preserve"> </v>
      </c>
      <c r="M14" s="12"/>
      <c r="N14" s="10" t="str">
        <f t="shared" si="1"/>
        <v/>
      </c>
    </row>
    <row r="15" spans="1:40" s="4" customFormat="1" ht="18" customHeight="1" x14ac:dyDescent="0.2">
      <c r="A15" s="2">
        <v>11</v>
      </c>
      <c r="B15" s="171" t="str">
        <f>IF(Init!I6=1,IF('POULE 2'!$C$8="","",'POULE 2'!$C$8),IF('POULE 2'!$C$8="","",'POULE 2'!$F$8&amp;" / "&amp;'POULE 2'!$G$8))</f>
        <v>1G6</v>
      </c>
      <c r="C15" s="175" t="s">
        <v>9</v>
      </c>
      <c r="D15" s="170" t="str">
        <f>IF(Init!I6=1,IF('POULE 2'!$C$3="","",'POULE 2'!$C$3),IF('POULE 2'!$C$3="","",'POULE 2'!$F$3&amp;" / "&amp;'POULE 2'!$G$3))</f>
        <v>TG3</v>
      </c>
      <c r="E15" s="28"/>
      <c r="F15" s="15"/>
      <c r="G15" s="11" t="s">
        <v>1</v>
      </c>
      <c r="H15" s="17"/>
      <c r="I15" s="8">
        <v>15</v>
      </c>
      <c r="J15" s="3">
        <v>15</v>
      </c>
      <c r="K15" s="3"/>
      <c r="L15" s="9" t="str">
        <f t="shared" si="0"/>
        <v xml:space="preserve"> </v>
      </c>
      <c r="M15" s="12"/>
      <c r="N15" s="10" t="str">
        <f t="shared" si="1"/>
        <v/>
      </c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0" s="4" customFormat="1" ht="18" customHeight="1" x14ac:dyDescent="0.2">
      <c r="A16" s="2">
        <v>12</v>
      </c>
      <c r="B16" s="281" t="str">
        <f>IF(Init!I6=1,IF('POULE 2'!$C$8="","",'POULE 2'!$C$4),IF('POULE 2'!$C$4="","",'POULE 2'!$F$4&amp;" / "&amp;'POULE 2'!$G$4))</f>
        <v>2n10</v>
      </c>
      <c r="C16" s="175" t="s">
        <v>9</v>
      </c>
      <c r="D16" s="172" t="str">
        <f>IF(Init!I6=1,IF('POULE 2'!$C$9="","",'POULE 2'!$B$9&amp;" / "&amp;'POULE 2'!$C$9),IF('POULE 2'!$C$9="","",'POULE 2'!$F$9&amp;" / "&amp;'POULE 2'!$G$9))</f>
        <v/>
      </c>
      <c r="E16" s="28"/>
      <c r="F16" s="15"/>
      <c r="G16" s="11" t="s">
        <v>1</v>
      </c>
      <c r="H16" s="17"/>
      <c r="I16" s="8">
        <v>15</v>
      </c>
      <c r="J16" s="3">
        <v>15</v>
      </c>
      <c r="K16" s="3"/>
      <c r="L16" s="9" t="str">
        <f t="shared" si="0"/>
        <v xml:space="preserve"> </v>
      </c>
      <c r="M16" s="12"/>
      <c r="N16" s="10" t="str">
        <f t="shared" si="1"/>
        <v/>
      </c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s="4" customFormat="1" ht="18" customHeight="1" x14ac:dyDescent="0.2">
      <c r="A17" s="2">
        <v>13</v>
      </c>
      <c r="B17" s="169" t="str">
        <f>IF(Init!I6=1,IF('POULE 2'!$C$5="","",'POULE 2'!$C$5),IF('POULE 2'!$C$5="","",'POULE 2'!$F$5&amp;" / "&amp;'POULE 2'!$G$5))</f>
        <v>1G2</v>
      </c>
      <c r="C17" s="175" t="s">
        <v>9</v>
      </c>
      <c r="D17" s="171" t="str">
        <f>IF(Init!I6=1,IF('POULE 2'!$C$8="","",'POULE 2'!$C$8),IF('POULE 2'!$C$8="","",'POULE 2'!$F$8&amp;" / "&amp;'POULE 2'!$G$8))</f>
        <v>1G6</v>
      </c>
      <c r="E17" s="28"/>
      <c r="F17" s="15"/>
      <c r="G17" s="11" t="s">
        <v>1</v>
      </c>
      <c r="H17" s="17"/>
      <c r="I17" s="8">
        <v>10</v>
      </c>
      <c r="J17" s="3">
        <v>10</v>
      </c>
      <c r="K17" s="3"/>
      <c r="L17" s="9" t="str">
        <f t="shared" si="0"/>
        <v xml:space="preserve"> </v>
      </c>
      <c r="M17" s="12"/>
      <c r="N17" s="10" t="str">
        <f t="shared" si="1"/>
        <v/>
      </c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:40" s="4" customFormat="1" ht="18" customHeight="1" x14ac:dyDescent="0.2">
      <c r="A18" s="2">
        <v>14</v>
      </c>
      <c r="B18" s="174" t="str">
        <f>IF(Init!I6=1,IF('POULE 2'!$C$6="","",'POULE 2'!$C$6),IF('POULE 2'!$C$6="","",'POULE 2'!$F$6&amp;" / "&amp;'POULE 2'!$G$6))</f>
        <v>2n6</v>
      </c>
      <c r="C18" s="175" t="s">
        <v>9</v>
      </c>
      <c r="D18" s="173" t="str">
        <f>IF(Init!I6=1,IF('POULE 2'!$C$7="","",'POULE 2'!$C$7),IF('POULE 2'!$C$7="","",'POULE 2'!$F$7&amp;" / "&amp;'POULE 2'!$G$7))</f>
        <v>TSTMG1</v>
      </c>
      <c r="E18" s="28"/>
      <c r="F18" s="15"/>
      <c r="G18" s="11" t="s">
        <v>1</v>
      </c>
      <c r="H18" s="17"/>
      <c r="I18" s="8">
        <v>13</v>
      </c>
      <c r="J18" s="3">
        <v>13</v>
      </c>
      <c r="K18" s="3"/>
      <c r="L18" s="9" t="str">
        <f t="shared" si="0"/>
        <v xml:space="preserve"> </v>
      </c>
      <c r="M18" s="12"/>
      <c r="N18" s="10" t="str">
        <f t="shared" si="1"/>
        <v/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1:40" s="4" customFormat="1" ht="18" customHeight="1" x14ac:dyDescent="0.2">
      <c r="A19" s="2">
        <v>15</v>
      </c>
      <c r="B19" s="170" t="str">
        <f>IF(Init!I6=1,IF('POULE 2'!$C$3="","",'POULE 2'!$C$3),IF('POULE 2'!$C$3="","",'POULE 2'!$F$3&amp;" / "&amp;'POULE 2'!$G$3))</f>
        <v>TG3</v>
      </c>
      <c r="C19" s="175" t="s">
        <v>9</v>
      </c>
      <c r="D19" s="169" t="str">
        <f>IF(Init!I6=1,IF('POULE 2'!$C$5="","",'POULE 2'!$C$5),IF('POULE 2'!$C$5="","",'POULE 2'!$F$5&amp;" / "&amp;'POULE 2'!$G$5))</f>
        <v>1G2</v>
      </c>
      <c r="E19" s="28"/>
      <c r="F19" s="15"/>
      <c r="G19" s="11" t="s">
        <v>1</v>
      </c>
      <c r="H19" s="17"/>
      <c r="I19" s="8">
        <v>16</v>
      </c>
      <c r="J19" s="3">
        <v>16</v>
      </c>
      <c r="K19" s="3"/>
      <c r="L19" s="9" t="str">
        <f t="shared" si="0"/>
        <v xml:space="preserve"> </v>
      </c>
      <c r="M19" s="12"/>
      <c r="N19" s="10" t="str">
        <f t="shared" si="1"/>
        <v/>
      </c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1:40" ht="18" x14ac:dyDescent="0.2">
      <c r="A20" s="2">
        <v>16</v>
      </c>
      <c r="B20" s="281" t="str">
        <f>IF(Init!I6=1,IF('POULE 2'!$C$8="","",'POULE 2'!$C$4),IF('POULE 2'!$C$4="","",'POULE 2'!$F$4&amp;" / "&amp;'POULE 2'!$G$4))</f>
        <v>2n10</v>
      </c>
      <c r="C20" s="175" t="s">
        <v>9</v>
      </c>
      <c r="D20" s="171" t="str">
        <f>IF(Init!I6=1,IF('POULE 2'!$C$8="","",'POULE 2'!$C$8),IF('POULE 2'!$C$8="","",'POULE 2'!$F$8&amp;" / "&amp;'POULE 2'!$G$8))</f>
        <v>1G6</v>
      </c>
      <c r="F20" s="15"/>
      <c r="G20" s="11" t="s">
        <v>1</v>
      </c>
      <c r="H20" s="17"/>
      <c r="I20" s="8">
        <v>16</v>
      </c>
      <c r="J20" s="3">
        <v>16</v>
      </c>
      <c r="K20" s="3"/>
      <c r="L20" s="9" t="str">
        <f t="shared" si="0"/>
        <v xml:space="preserve"> </v>
      </c>
      <c r="M20" s="12"/>
      <c r="N20" s="10" t="str">
        <f t="shared" si="1"/>
        <v/>
      </c>
    </row>
    <row r="21" spans="1:40" ht="18" x14ac:dyDescent="0.2">
      <c r="A21" s="2">
        <v>17</v>
      </c>
      <c r="B21" s="174" t="str">
        <f>IF(Init!I6=1,IF('POULE 2'!$C$6="","",'POULE 2'!$C$6),IF('POULE 2'!$C$6="","",'POULE 2'!$F$6&amp;" / "&amp;'POULE 2'!$G$6))</f>
        <v>2n6</v>
      </c>
      <c r="C21" s="175" t="s">
        <v>9</v>
      </c>
      <c r="D21" s="172" t="str">
        <f>IF(Init!I6=1,IF('POULE 2'!$C$9="","",'POULE 2'!$B$9&amp;" / "&amp;'POULE 2'!$C$9),IF('POULE 2'!$C$9="","",'POULE 2'!$F$9&amp;" / "&amp;'POULE 2'!$G$9))</f>
        <v/>
      </c>
      <c r="F21" s="15"/>
      <c r="G21" s="11" t="s">
        <v>1</v>
      </c>
      <c r="H21" s="17"/>
      <c r="I21" s="8">
        <v>21</v>
      </c>
      <c r="J21" s="3">
        <v>21</v>
      </c>
      <c r="K21" s="3"/>
      <c r="L21" s="9" t="str">
        <f t="shared" si="0"/>
        <v xml:space="preserve"> </v>
      </c>
      <c r="M21" s="12"/>
      <c r="N21" s="10" t="str">
        <f t="shared" si="1"/>
        <v/>
      </c>
    </row>
    <row r="22" spans="1:40" ht="18" x14ac:dyDescent="0.2">
      <c r="A22" s="2">
        <v>18</v>
      </c>
      <c r="B22" s="170" t="str">
        <f>IF(Init!I6=1,IF('POULE 2'!$C$3="","",'POULE 2'!$C$3),IF('POULE 2'!$C$3="","",'POULE 2'!$F$3&amp;" / "&amp;'POULE 2'!$G$3))</f>
        <v>TG3</v>
      </c>
      <c r="C22" s="175" t="s">
        <v>9</v>
      </c>
      <c r="D22" s="173" t="str">
        <f>IF(Init!I6=1,IF('POULE 2'!$C$7="","",'POULE 2'!$C$7),IF('POULE 2'!$C$7="","",'POULE 2'!$F$7&amp;" / "&amp;'POULE 2'!$G$7))</f>
        <v>TSTMG1</v>
      </c>
      <c r="F22" s="15"/>
      <c r="G22" s="11" t="s">
        <v>1</v>
      </c>
      <c r="H22" s="17"/>
      <c r="I22" s="8">
        <v>18</v>
      </c>
      <c r="J22" s="3">
        <v>18</v>
      </c>
      <c r="K22" s="3"/>
      <c r="L22" s="9" t="str">
        <f t="shared" si="0"/>
        <v xml:space="preserve"> </v>
      </c>
      <c r="M22" s="12"/>
      <c r="N22" s="10" t="str">
        <f t="shared" si="1"/>
        <v/>
      </c>
    </row>
    <row r="23" spans="1:40" ht="18" x14ac:dyDescent="0.2">
      <c r="A23" s="2">
        <v>19</v>
      </c>
      <c r="B23" s="172" t="str">
        <f>IF(Init!I6=1,IF('POULE 2'!$C$9="","",'POULE 2'!$B$9&amp;" / "&amp;'POULE 2'!$C$9),IF('POULE 2'!$C$9="","",'POULE 2'!$F$9&amp;" / "&amp;'POULE 2'!$G$9))</f>
        <v/>
      </c>
      <c r="C23" s="175" t="s">
        <v>9</v>
      </c>
      <c r="D23" s="169" t="str">
        <f>IF(Init!I6=1,IF('POULE 2'!$C$5="","",'POULE 2'!$C$5),IF('POULE 2'!$C$5="","",'POULE 2'!$F$5&amp;" / "&amp;'POULE 2'!$G$5))</f>
        <v>1G2</v>
      </c>
      <c r="F23" s="15"/>
      <c r="G23" s="11" t="s">
        <v>1</v>
      </c>
      <c r="H23" s="17"/>
      <c r="I23" s="8">
        <v>13</v>
      </c>
      <c r="J23" s="3">
        <v>13</v>
      </c>
      <c r="K23" s="3"/>
      <c r="L23" s="9" t="str">
        <f t="shared" si="0"/>
        <v xml:space="preserve"> </v>
      </c>
      <c r="M23" s="12"/>
      <c r="N23" s="10" t="str">
        <f t="shared" si="1"/>
        <v/>
      </c>
    </row>
    <row r="24" spans="1:40" ht="18" x14ac:dyDescent="0.2">
      <c r="A24" s="2">
        <v>20</v>
      </c>
      <c r="B24" s="174" t="str">
        <f>IF(Init!I6=1,IF('POULE 2'!$C$6="","",'POULE 2'!$C$6),IF('POULE 2'!$C$6="","",'POULE 2'!$F$6&amp;" / "&amp;'POULE 2'!$G$6))</f>
        <v>2n6</v>
      </c>
      <c r="C24" s="175" t="s">
        <v>9</v>
      </c>
      <c r="D24" s="171" t="str">
        <f>IF(Init!I6=1,IF('POULE 2'!$C$8="","",'POULE 2'!$C$8),IF('POULE 2'!$C$8="","",'POULE 2'!$F$8&amp;" / "&amp;'POULE 2'!$G$8))</f>
        <v>1G6</v>
      </c>
      <c r="F24" s="15"/>
      <c r="G24" s="11" t="s">
        <v>1</v>
      </c>
      <c r="H24" s="17"/>
      <c r="I24" s="8">
        <v>15</v>
      </c>
      <c r="J24" s="3">
        <v>15</v>
      </c>
      <c r="K24" s="3"/>
      <c r="L24" s="9" t="str">
        <f t="shared" si="0"/>
        <v xml:space="preserve"> </v>
      </c>
      <c r="M24" s="12"/>
      <c r="N24" s="10" t="str">
        <f t="shared" si="1"/>
        <v/>
      </c>
    </row>
    <row r="25" spans="1:40" ht="18.75" thickBot="1" x14ac:dyDescent="0.25">
      <c r="A25" s="2">
        <v>21</v>
      </c>
      <c r="B25" s="281" t="str">
        <f>IF(Init!I6=1,IF('POULE 2'!$C$8="","",'POULE 2'!$C$4),IF('POULE 2'!$C$4="","",'POULE 2'!$F$4&amp;" / "&amp;'POULE 2'!$G$4))</f>
        <v>2n10</v>
      </c>
      <c r="C25" s="175" t="s">
        <v>9</v>
      </c>
      <c r="D25" s="173" t="str">
        <f>IF(Init!I6=1,IF('POULE 2'!$C$7="","",'POULE 2'!$C$7),IF('POULE 2'!$C$7="","",'POULE 2'!$F$7&amp;" / "&amp;'POULE 2'!$G$7))</f>
        <v>TSTMG1</v>
      </c>
      <c r="F25" s="16"/>
      <c r="G25" s="11" t="s">
        <v>1</v>
      </c>
      <c r="H25" s="18"/>
      <c r="I25" s="8">
        <v>18</v>
      </c>
      <c r="J25" s="3">
        <v>18</v>
      </c>
      <c r="K25" s="3"/>
      <c r="L25" s="9" t="str">
        <f t="shared" si="0"/>
        <v xml:space="preserve"> </v>
      </c>
      <c r="M25" s="12"/>
      <c r="N25" s="10" t="str">
        <f t="shared" si="1"/>
        <v/>
      </c>
    </row>
    <row r="26" spans="1:40" x14ac:dyDescent="0.2">
      <c r="G26"/>
      <c r="M26"/>
    </row>
    <row r="27" spans="1:40" x14ac:dyDescent="0.2">
      <c r="G27"/>
      <c r="M27"/>
    </row>
    <row r="28" spans="1:40" x14ac:dyDescent="0.2">
      <c r="G28"/>
      <c r="M28"/>
    </row>
    <row r="29" spans="1:40" x14ac:dyDescent="0.2">
      <c r="G29"/>
      <c r="M29"/>
    </row>
    <row r="30" spans="1:40" x14ac:dyDescent="0.2">
      <c r="G30"/>
      <c r="M30"/>
    </row>
  </sheetData>
  <sheetProtection sheet="1" objects="1" scenarios="1"/>
  <mergeCells count="3">
    <mergeCell ref="F4:H4"/>
    <mergeCell ref="L4:N4"/>
    <mergeCell ref="P8:R8"/>
  </mergeCells>
  <conditionalFormatting sqref="L5:L25 N5:N25">
    <cfRule type="cellIs" dxfId="33" priority="1" stopIfTrue="1" operator="equal">
      <formula>3</formula>
    </cfRule>
    <cfRule type="cellIs" dxfId="32" priority="2" stopIfTrue="1" operator="equal">
      <formula>2</formula>
    </cfRule>
    <cfRule type="cellIs" dxfId="31" priority="3" stopIfTrue="1" operator="equal">
      <formula>1</formula>
    </cfRule>
  </conditionalFormatting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efface_score">
                <anchor moveWithCells="1" sizeWithCells="1">
                  <from>
                    <xdr:col>15</xdr:col>
                    <xdr:colOff>0</xdr:colOff>
                    <xdr:row>4</xdr:row>
                    <xdr:rowOff>0</xdr:rowOff>
                  </from>
                  <to>
                    <xdr:col>18</xdr:col>
                    <xdr:colOff>9525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Button 4">
              <controlPr defaultSize="0" print="0" autoFill="0" autoPict="0" macro="[0]!change_pouleA">
                <anchor moveWithCells="1" sizeWithCells="1">
                  <from>
                    <xdr:col>16</xdr:col>
                    <xdr:colOff>19050</xdr:colOff>
                    <xdr:row>11</xdr:row>
                    <xdr:rowOff>219075</xdr:rowOff>
                  </from>
                  <to>
                    <xdr:col>18</xdr:col>
                    <xdr:colOff>95250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6" name="Button 5">
              <controlPr defaultSize="0" print="0" autoFill="0" autoPict="0" macro="[0]!change_pouleC">
                <anchor moveWithCells="1" siz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18</xdr:col>
                    <xdr:colOff>57150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8">
    <tabColor rgb="FF92D050"/>
  </sheetPr>
  <dimension ref="A2:AN25"/>
  <sheetViews>
    <sheetView showGridLines="0" zoomScaleNormal="100" workbookViewId="0">
      <selection activeCell="F2" sqref="F2"/>
    </sheetView>
  </sheetViews>
  <sheetFormatPr baseColWidth="10" defaultColWidth="11.5703125" defaultRowHeight="12.75" x14ac:dyDescent="0.2"/>
  <cols>
    <col min="1" max="1" width="3.42578125" bestFit="1" customWidth="1"/>
    <col min="2" max="2" width="22" customWidth="1"/>
    <col min="3" max="3" width="1.85546875" style="5" customWidth="1"/>
    <col min="4" max="4" width="21.5703125" customWidth="1"/>
    <col min="5" max="5" width="3.5703125" style="28" customWidth="1"/>
    <col min="6" max="6" width="5.7109375" customWidth="1"/>
    <col min="7" max="7" width="2.85546875" style="4" customWidth="1"/>
    <col min="8" max="8" width="5.7109375" style="1" customWidth="1"/>
    <col min="9" max="9" width="3.42578125" hidden="1" customWidth="1"/>
    <col min="10" max="11" width="3.140625" hidden="1" customWidth="1"/>
    <col min="12" max="12" width="8" customWidth="1"/>
    <col min="13" max="13" width="2.7109375" style="4" customWidth="1"/>
    <col min="14" max="14" width="6.7109375" customWidth="1"/>
    <col min="15" max="15" width="2.7109375" customWidth="1"/>
    <col min="16" max="16" width="8.85546875" customWidth="1"/>
    <col min="17" max="18" width="8.28515625" customWidth="1"/>
    <col min="19" max="19" width="8.5703125" customWidth="1"/>
    <col min="20" max="20" width="9" customWidth="1"/>
    <col min="21" max="21" width="10.140625" customWidth="1"/>
    <col min="22" max="22" width="3.5703125" customWidth="1"/>
    <col min="23" max="27" width="1.85546875" customWidth="1"/>
    <col min="28" max="28" width="3.7109375" customWidth="1"/>
    <col min="29" max="29" width="3.42578125" customWidth="1"/>
    <col min="30" max="30" width="3" customWidth="1"/>
    <col min="31" max="31" width="2.7109375" customWidth="1"/>
  </cols>
  <sheetData>
    <row r="2" spans="1:40" x14ac:dyDescent="0.2">
      <c r="F2" s="186" t="str">
        <f>"Résultats Poule 3 Gymnase "&amp;Init!I7</f>
        <v>Résultats Poule 3 Gymnase Lycée</v>
      </c>
      <c r="U2" s="102"/>
    </row>
    <row r="3" spans="1:40" ht="13.5" thickBot="1" x14ac:dyDescent="0.25">
      <c r="C3" s="27"/>
      <c r="G3"/>
      <c r="M3"/>
      <c r="R3" s="2"/>
      <c r="S3" s="2"/>
      <c r="T3" s="2"/>
    </row>
    <row r="4" spans="1:40" s="2" customFormat="1" ht="30" customHeight="1" thickBot="1" x14ac:dyDescent="0.25">
      <c r="B4" s="23" t="s">
        <v>2</v>
      </c>
      <c r="C4" s="24" t="s">
        <v>9</v>
      </c>
      <c r="D4" s="25" t="s">
        <v>2</v>
      </c>
      <c r="E4" s="29"/>
      <c r="F4" s="413" t="s">
        <v>10</v>
      </c>
      <c r="G4" s="414"/>
      <c r="H4" s="415"/>
      <c r="I4" s="26"/>
      <c r="J4" s="26"/>
      <c r="K4" s="26"/>
      <c r="L4" s="417" t="s">
        <v>11</v>
      </c>
      <c r="M4" s="418"/>
      <c r="N4" s="419"/>
      <c r="U4" s="253"/>
      <c r="V4" s="253"/>
      <c r="W4" s="253"/>
      <c r="X4" s="253"/>
      <c r="Y4" s="253"/>
      <c r="Z4" s="253"/>
      <c r="AA4" s="253"/>
      <c r="AB4" s="326" t="s">
        <v>197</v>
      </c>
      <c r="AC4" s="326" t="s">
        <v>198</v>
      </c>
      <c r="AD4" s="326" t="s">
        <v>199</v>
      </c>
      <c r="AE4" s="253"/>
    </row>
    <row r="5" spans="1:40" s="2" customFormat="1" ht="18" customHeight="1" x14ac:dyDescent="0.2">
      <c r="A5" s="2">
        <v>1</v>
      </c>
      <c r="B5" s="170" t="str">
        <f>IF(Init!I6=1,IF('POULE 3'!$C$3="","",'POULE 3'!$C$3),IF('POULE 3'!$C$3="","",'POULE 3'!$F$3&amp;" / "&amp;'POULE 3'!$G$3))</f>
        <v>TG5</v>
      </c>
      <c r="C5" s="175" t="s">
        <v>9</v>
      </c>
      <c r="D5" s="281" t="str">
        <f>IF(Init!I6=1,IF('POULE 3'!$C$8="","",'POULE 3'!$C$4),IF('POULE 3'!$C$4="","",'POULE 3'!$F$4&amp;" / "&amp;'POULE 3'!$G$4))</f>
        <v>2n9</v>
      </c>
      <c r="E5" s="29"/>
      <c r="F5" s="14"/>
      <c r="G5" s="11" t="s">
        <v>1</v>
      </c>
      <c r="H5" s="17"/>
      <c r="I5" s="8"/>
      <c r="J5" s="3"/>
      <c r="K5" s="3"/>
      <c r="L5" s="9" t="str">
        <f>IF(OR(F5="",H5="")," ",IF(F5&gt;H5,$P$10,IF(F5=H5,$Q$10,$R$10)))</f>
        <v xml:space="preserve"> </v>
      </c>
      <c r="M5" s="12"/>
      <c r="N5" s="10" t="str">
        <f>IF(OR(F5="",H5=""),"",IF(H5&gt;F5,$P$10,IF(H5=F5,$Q$10,$R$10)))</f>
        <v/>
      </c>
      <c r="U5" s="326" t="str">
        <f>IF(Init!$I$6=1,('POULE 3'!B3&amp;" / "&amp;'POULE 3'!C3),('POULE 3'!F3&amp;" / "&amp;'POULE 3'!G3))</f>
        <v>A3 / TG5</v>
      </c>
      <c r="V5" s="291">
        <f>IF(L5=0,"",IF(L5=3,1,IF(L5=2,0.5,0)))</f>
        <v>0</v>
      </c>
      <c r="W5" s="291">
        <f>IF(N8=0,"",IF(N8=3,1,IF(N8=2,0.5,0)))</f>
        <v>0</v>
      </c>
      <c r="X5" s="291">
        <f>IF(N12=3,1,IF(N12=2,0.5,0))</f>
        <v>0</v>
      </c>
      <c r="Y5" s="291">
        <f>IF(N15=3,1,IF(N15=2,0.5,0))</f>
        <v>0</v>
      </c>
      <c r="Z5" s="291">
        <f>IF(L19=3,1,IF(L19=2,0.5,0))</f>
        <v>0</v>
      </c>
      <c r="AA5" s="291">
        <f>IF(L22=3,1,IF(L22=2,0.5,0))</f>
        <v>0</v>
      </c>
      <c r="AB5" s="291">
        <f>COUNTIF(V5:AA5,1)</f>
        <v>0</v>
      </c>
      <c r="AC5" s="291">
        <f>COUNTIF(V5:AA5,0)</f>
        <v>6</v>
      </c>
      <c r="AD5" s="291">
        <f>COUNTIF(V5:AA5,0.5)</f>
        <v>0</v>
      </c>
      <c r="AE5" s="133">
        <f>(AB5*3)+(AC5)+(AD5*2)</f>
        <v>6</v>
      </c>
    </row>
    <row r="6" spans="1:40" s="2" customFormat="1" ht="18" customHeight="1" x14ac:dyDescent="0.2">
      <c r="A6" s="2">
        <v>2</v>
      </c>
      <c r="B6" s="169" t="str">
        <f>IF(Init!I6=1,IF('POULE 3'!$C$5="","",'POULE 3'!$C$5),IF('POULE 3'!$C$5="","",'POULE 3'!$F$5&amp;" / "&amp;'POULE 3'!$G$5))</f>
        <v>1G4</v>
      </c>
      <c r="C6" s="175" t="s">
        <v>9</v>
      </c>
      <c r="D6" s="174" t="str">
        <f>IF(Init!I6=1,IF('POULE 3'!$C$6="","",'POULE 3'!$C$6),IF('POULE 3'!$C$6="","",'POULE 3'!$F$6&amp;" / "&amp;'POULE 3'!#REF!))</f>
        <v>2AGORA</v>
      </c>
      <c r="E6" s="29"/>
      <c r="F6" s="15"/>
      <c r="G6" s="11" t="s">
        <v>1</v>
      </c>
      <c r="H6" s="17"/>
      <c r="I6" s="8"/>
      <c r="J6" s="3"/>
      <c r="K6" s="3"/>
      <c r="L6" s="9" t="str">
        <f t="shared" ref="L6:L19" si="0">IF(OR(F6="",H6="")," ",IF(F6&gt;H6,$P$10,IF(F6=H6,$Q$10,$R$10)))</f>
        <v xml:space="preserve"> </v>
      </c>
      <c r="M6" s="12"/>
      <c r="N6" s="10" t="str">
        <f t="shared" ref="N6:N19" si="1">IF(OR(F6="",H6=""),"",IF(H6&gt;F6,$P$10,IF(H6=F6,$Q$10,$R$10)))</f>
        <v/>
      </c>
      <c r="U6" s="326" t="str">
        <f>IF(Init!$I$6=1,('POULE 3'!B4&amp;" / "&amp;'POULE 3'!C4),('POULE 3'!F4&amp;" / "&amp;'POULE 3'!G4))</f>
        <v>B3 / 2n9</v>
      </c>
      <c r="V6" s="291">
        <f>IF(N5=3,1,IF(N5=2,0.5,0))</f>
        <v>0</v>
      </c>
      <c r="W6" s="291">
        <f>IF(L9=0,"",IF(L9=3,1,IF(L9=2,0.5,0)))</f>
        <v>0</v>
      </c>
      <c r="X6" s="291">
        <f>IF(L13=3,1,IF(L13=2,0.5,0))</f>
        <v>0</v>
      </c>
      <c r="Y6" s="291">
        <f>IF(L16=0,"",IF(L16=3,1,IF(L16=2,0.5,0)))</f>
        <v>0</v>
      </c>
      <c r="Z6" s="291">
        <f>IF(L20=3,1,IF(L20=2,0.5,0))</f>
        <v>0</v>
      </c>
      <c r="AA6" s="291">
        <f>IF(L25=3,1,IF(L25=2,0.5,0))</f>
        <v>0</v>
      </c>
      <c r="AB6" s="291">
        <f t="shared" ref="AB6:AB11" si="2">COUNTIF(V6:AA6,1)</f>
        <v>0</v>
      </c>
      <c r="AC6" s="291">
        <f t="shared" ref="AC6:AC11" si="3">COUNTIF(V6:AA6,0)</f>
        <v>6</v>
      </c>
      <c r="AD6" s="291">
        <f t="shared" ref="AD6:AD11" si="4">COUNTIF(V6:AA6,0.5)</f>
        <v>0</v>
      </c>
      <c r="AE6" s="133">
        <f t="shared" ref="AE6:AE11" si="5">(AB6*3)+(AC6)+(AD6*2)</f>
        <v>6</v>
      </c>
    </row>
    <row r="7" spans="1:40" s="2" customFormat="1" ht="18" customHeight="1" x14ac:dyDescent="0.2">
      <c r="A7" s="2">
        <v>3</v>
      </c>
      <c r="B7" s="171" t="str">
        <f>IF(Init!I6=1,IF('POULE 3'!$C$8="","",'POULE 3'!$C$8),IF('POULE 3'!$C$8="","",'POULE 3'!$F$8&amp;" / "&amp;'POULE 3'!$G$8))</f>
        <v>TSTMG3</v>
      </c>
      <c r="C7" s="175" t="s">
        <v>9</v>
      </c>
      <c r="D7" s="173" t="str">
        <f>IF(Init!I6=1,IF('POULE 3'!$C$7="","",'POULE 3'!$C$7),IF('POULE 3'!$C$7="","",'POULE 3'!$F$7&amp;" / "&amp;'POULE 3'!$G$7))</f>
        <v>TG9</v>
      </c>
      <c r="E7" s="29"/>
      <c r="F7" s="15"/>
      <c r="G7" s="11" t="s">
        <v>1</v>
      </c>
      <c r="H7" s="17"/>
      <c r="I7" s="8"/>
      <c r="J7" s="3"/>
      <c r="K7" s="3"/>
      <c r="L7" s="9" t="str">
        <f t="shared" si="0"/>
        <v xml:space="preserve"> </v>
      </c>
      <c r="M7" s="12"/>
      <c r="N7" s="10" t="str">
        <f t="shared" si="1"/>
        <v/>
      </c>
      <c r="U7" s="326" t="str">
        <f>IF(Init!$I$6=1,('POULE 3'!B5&amp;" / "&amp;'POULE 3'!C5),('POULE 3'!F5&amp;" / "&amp;'POULE 3'!G5))</f>
        <v>C3 / 1G4</v>
      </c>
      <c r="V7" s="291">
        <f>IF(L6=3,1,IF(L6=2,0.5,0))</f>
        <v>0</v>
      </c>
      <c r="W7" s="291">
        <f>IF(L10=0,"",IF(L10=3,1,IF(L10=2,0.5,0)))</f>
        <v>0</v>
      </c>
      <c r="X7" s="291">
        <f>IF(N13=3,1,IF(N13=2,0.5,0))</f>
        <v>0</v>
      </c>
      <c r="Y7" s="291">
        <f>IF(L17=0,"",IF(L17=3,1,IF(L17=2,0.5,0)))</f>
        <v>0</v>
      </c>
      <c r="Z7" s="291">
        <f>IF(N19=3,1,IF(N19=2,0.5,0))</f>
        <v>0</v>
      </c>
      <c r="AA7" s="291">
        <f>IF(N23=0,"",IF(N23=3,1,IF(N23=2,0.5,0)))</f>
        <v>0</v>
      </c>
      <c r="AB7" s="291">
        <f t="shared" si="2"/>
        <v>0</v>
      </c>
      <c r="AC7" s="291">
        <f t="shared" si="3"/>
        <v>6</v>
      </c>
      <c r="AD7" s="291">
        <f t="shared" si="4"/>
        <v>0</v>
      </c>
      <c r="AE7" s="133">
        <f t="shared" si="5"/>
        <v>6</v>
      </c>
    </row>
    <row r="8" spans="1:40" s="2" customFormat="1" ht="18" customHeight="1" thickBot="1" x14ac:dyDescent="0.25">
      <c r="A8" s="2">
        <v>4</v>
      </c>
      <c r="B8" s="172" t="str">
        <f>IF(Init!I6=1,IF('POULE 3'!$C$9="","",'POULE 3'!$B$9&amp;" / "&amp;'POULE 3'!$C$9),IF('POULE 3'!$C$9="","",'POULE 3'!$F$9&amp;" / "&amp;'POULE 3'!$G$6))</f>
        <v/>
      </c>
      <c r="C8" s="175" t="s">
        <v>9</v>
      </c>
      <c r="D8" s="170" t="str">
        <f>IF(Init!I6=1,IF('POULE 3'!$C$3="","",'POULE 3'!$C$3),IF('POULE 3'!$C$3="","",'POULE 3'!$F$3&amp;" / "&amp;'POULE 3'!$G$3))</f>
        <v>TG5</v>
      </c>
      <c r="E8" s="29"/>
      <c r="F8" s="15"/>
      <c r="G8" s="11" t="s">
        <v>1</v>
      </c>
      <c r="H8" s="17"/>
      <c r="I8" s="8"/>
      <c r="J8" s="3"/>
      <c r="K8" s="3"/>
      <c r="L8" s="9" t="str">
        <f t="shared" ref="L8" si="6">IF(OR(F8="",H8="")," ",IF(OR(F8=-1,H8=-1),0,IF(F8&gt;H8,$P$10,IF(F8=H8,$Q$10,$R$10))))</f>
        <v xml:space="preserve"> </v>
      </c>
      <c r="M8" s="12"/>
      <c r="N8" s="10" t="str">
        <f t="shared" ref="N8" si="7">IF(OR(F8="",H8=""),"",IF(OR(F8=-1,H8=-1),0,IF(H8&gt;F8,$P$10,IF(H8=F8,$Q$10,$R$10))))</f>
        <v/>
      </c>
      <c r="P8" s="416" t="s">
        <v>5</v>
      </c>
      <c r="Q8" s="416"/>
      <c r="R8" s="416"/>
      <c r="S8" s="6"/>
      <c r="T8" s="6"/>
      <c r="U8" s="326" t="str">
        <f>IF(Init!$I$6=1,('POULE 3'!B6&amp;" / "&amp;'POULE 3'!C6),('POULE 3'!F6&amp;" / "&amp;'POULE 3'!#REF!))</f>
        <v>D3 / 2AGORA</v>
      </c>
      <c r="V8" s="291">
        <f>IF(N6=3,1,IF(N6=2,0.5,0))</f>
        <v>0</v>
      </c>
      <c r="W8" s="291">
        <f>IF(N9=0,"",IF(N9=3,1,IF(N9=2,0.5,0)))</f>
        <v>0</v>
      </c>
      <c r="X8" s="291">
        <f>IF(L12=3,1,IF(L12=2,0.5,0))</f>
        <v>0</v>
      </c>
      <c r="Y8" s="291">
        <f>IF(L18=0,"",IF(L18=3,1,IF(L18=2,0.5,0)))</f>
        <v>0</v>
      </c>
      <c r="Z8" s="291">
        <f>IF(L21=0,"",IF(L21=3,1,IF(L21=2,0.5,0)))</f>
        <v>0</v>
      </c>
      <c r="AA8" s="291">
        <f>IF(L24=0,"",IF(L24=3,1,IF(N24=2,0.5,0)))</f>
        <v>0</v>
      </c>
      <c r="AB8" s="291">
        <f t="shared" si="2"/>
        <v>0</v>
      </c>
      <c r="AC8" s="291">
        <f t="shared" si="3"/>
        <v>6</v>
      </c>
      <c r="AD8" s="291">
        <f t="shared" si="4"/>
        <v>0</v>
      </c>
      <c r="AE8" s="133">
        <f t="shared" si="5"/>
        <v>6</v>
      </c>
    </row>
    <row r="9" spans="1:40" s="2" customFormat="1" ht="18" customHeight="1" x14ac:dyDescent="0.2">
      <c r="A9" s="2">
        <v>5</v>
      </c>
      <c r="B9" s="281" t="str">
        <f>IF(Init!I6=1,IF('POULE 3'!$C$8="","",'POULE 3'!$C$4),IF('POULE 3'!$C$4="","",'POULE 3'!$F$4&amp;" / "&amp;'POULE 3'!$G$4))</f>
        <v>2n9</v>
      </c>
      <c r="C9" s="175" t="s">
        <v>9</v>
      </c>
      <c r="D9" s="174" t="str">
        <f>IF(Init!I6=1,IF('POULE 3'!$C$6="","",'POULE 3'!$C$6),IF('POULE 3'!$C$6="","",'POULE 3'!$F$6&amp;" / "&amp;'POULE 3'!#REF!))</f>
        <v>2AGORA</v>
      </c>
      <c r="E9" s="29"/>
      <c r="F9" s="15"/>
      <c r="G9" s="11" t="s">
        <v>1</v>
      </c>
      <c r="H9" s="17"/>
      <c r="I9" s="8"/>
      <c r="J9" s="3"/>
      <c r="K9" s="3"/>
      <c r="L9" s="9" t="str">
        <f t="shared" si="0"/>
        <v xml:space="preserve"> </v>
      </c>
      <c r="M9" s="12"/>
      <c r="N9" s="10" t="str">
        <f t="shared" si="1"/>
        <v/>
      </c>
      <c r="P9" s="30" t="s">
        <v>6</v>
      </c>
      <c r="Q9" s="31" t="s">
        <v>7</v>
      </c>
      <c r="R9" s="32" t="s">
        <v>8</v>
      </c>
      <c r="S9" s="6"/>
      <c r="T9" s="6"/>
      <c r="U9" s="326" t="str">
        <f>IF(Init!$I$6=1,('POULE 3'!B7&amp;" / "&amp;'POULE 3'!C7),('POULE 3'!F7&amp;" / "&amp;'POULE 3'!G7))</f>
        <v>E3 / TG9</v>
      </c>
      <c r="V9" s="291">
        <f>IF(N7=3,1,IF(N7=2,0.5,0))</f>
        <v>0</v>
      </c>
      <c r="W9" s="291">
        <f>IF(N10=0,"",IF(N10=3,1,IF(N10=2,0.5,0)))</f>
        <v>0</v>
      </c>
      <c r="X9" s="291">
        <f>IF(L14=0,"",IF(L14=3,1,IF(L14=2,0.5,0)))</f>
        <v>0</v>
      </c>
      <c r="Y9" s="291">
        <f>IF(N18=0,"",IF(N18=3,1,IF(N18=2,0.5,0)))</f>
        <v>0</v>
      </c>
      <c r="Z9" s="291">
        <f>IF(N22=0,"",IF(N22=3,1,IF(N22=2,0.5,0)))</f>
        <v>0</v>
      </c>
      <c r="AA9" s="291">
        <f>IF(N25=0,"",IF(N25=3,1,IF(N25=2,0.5,0)))</f>
        <v>0</v>
      </c>
      <c r="AB9" s="291">
        <f t="shared" si="2"/>
        <v>0</v>
      </c>
      <c r="AC9" s="291">
        <f t="shared" si="3"/>
        <v>6</v>
      </c>
      <c r="AD9" s="291">
        <f t="shared" si="4"/>
        <v>0</v>
      </c>
      <c r="AE9" s="133">
        <f t="shared" si="5"/>
        <v>6</v>
      </c>
    </row>
    <row r="10" spans="1:40" s="2" customFormat="1" ht="18" customHeight="1" thickBot="1" x14ac:dyDescent="0.25">
      <c r="A10" s="2">
        <v>6</v>
      </c>
      <c r="B10" s="169" t="str">
        <f>IF(Init!I6=1,IF('POULE 3'!$C$5="","",'POULE 3'!$C$5),IF('POULE 3'!$C$5="","",'POULE 3'!$F$5&amp;" / "&amp;'POULE 3'!$G$5))</f>
        <v>1G4</v>
      </c>
      <c r="C10" s="175" t="s">
        <v>9</v>
      </c>
      <c r="D10" s="173" t="str">
        <f>IF(Init!I6=1,IF('POULE 3'!$C$7="","",'POULE 3'!$C$7),IF('POULE 3'!$C$7="","",'POULE 3'!$F$7&amp;" / "&amp;'POULE 3'!$G$7))</f>
        <v>TG9</v>
      </c>
      <c r="E10" s="29"/>
      <c r="F10" s="15"/>
      <c r="G10" s="11" t="s">
        <v>1</v>
      </c>
      <c r="H10" s="17"/>
      <c r="I10" s="8"/>
      <c r="J10" s="3"/>
      <c r="K10" s="3"/>
      <c r="L10" s="9" t="str">
        <f t="shared" si="0"/>
        <v xml:space="preserve"> </v>
      </c>
      <c r="M10" s="12"/>
      <c r="N10" s="10" t="str">
        <f t="shared" si="1"/>
        <v/>
      </c>
      <c r="P10" s="33">
        <v>3</v>
      </c>
      <c r="Q10" s="34">
        <v>2</v>
      </c>
      <c r="R10" s="34">
        <v>1</v>
      </c>
      <c r="U10" s="326" t="str">
        <f>IF(Init!$I$6=1,('POULE 3'!B8&amp;" / "&amp;'POULE 3'!C8),('POULE 3'!F8&amp;" / "&amp;'POULE 3'!G8))</f>
        <v>F3 / TSTMG3</v>
      </c>
      <c r="V10" s="291">
        <f>IF(L7=3,1,IF(L7=2,0.5,0))</f>
        <v>0</v>
      </c>
      <c r="W10" s="291">
        <f>IF(N11=0,"",IF(N11=3,1,IF(N11=2,0.5,0)))</f>
        <v>0</v>
      </c>
      <c r="X10" s="291">
        <f>IF(L15=0,"",IF(L15=3,1,IF(L15=2,0.5,0)))</f>
        <v>0</v>
      </c>
      <c r="Y10" s="291">
        <f>IF(N17=0,"",IF(N17=3,1,IF(N17=2,0.5,0)))</f>
        <v>0</v>
      </c>
      <c r="Z10" s="291">
        <f>IF(N20=0,"",IF(N20=3,1,IF(N20=2,0.5,0)))</f>
        <v>0</v>
      </c>
      <c r="AA10" s="291">
        <f>IF(N24=0,"",IF(N24=3,1,IF(N24=2,0.5,0)))</f>
        <v>0</v>
      </c>
      <c r="AB10" s="291">
        <f t="shared" si="2"/>
        <v>0</v>
      </c>
      <c r="AC10" s="291">
        <f t="shared" si="3"/>
        <v>6</v>
      </c>
      <c r="AD10" s="291">
        <f t="shared" si="4"/>
        <v>0</v>
      </c>
      <c r="AE10" s="133">
        <f t="shared" si="5"/>
        <v>6</v>
      </c>
    </row>
    <row r="11" spans="1:40" s="2" customFormat="1" ht="18" customHeight="1" x14ac:dyDescent="0.2">
      <c r="A11" s="2">
        <v>7</v>
      </c>
      <c r="B11" s="172" t="str">
        <f>IF(Init!I6=1,IF('POULE 3'!$C$9="","",'POULE 3'!$B$9&amp;" / "&amp;'POULE 3'!$C$9),IF('POULE 3'!$C$9="","",'POULE 3'!$F$9&amp;" / "&amp;'POULE 3'!$G$6))</f>
        <v/>
      </c>
      <c r="C11" s="175" t="s">
        <v>9</v>
      </c>
      <c r="D11" s="171" t="str">
        <f>IF(Init!I6=1,IF('POULE 3'!$C$8="","",'POULE 3'!$C$8),IF('POULE 3'!$C$8="","",'POULE 3'!$F$8&amp;" / "&amp;'POULE 3'!$G$8))</f>
        <v>TSTMG3</v>
      </c>
      <c r="E11" s="29"/>
      <c r="F11" s="15"/>
      <c r="G11" s="11" t="s">
        <v>1</v>
      </c>
      <c r="H11" s="17"/>
      <c r="I11" s="8"/>
      <c r="J11" s="3"/>
      <c r="K11" s="3"/>
      <c r="L11" s="9" t="str">
        <f t="shared" ref="L11" si="8">IF(OR(F11="",H11="")," ",IF(OR(F11=-1,H11=-1),0,IF(F11&gt;H11,$P$10,IF(F11=H11,$Q$10,$R$10))))</f>
        <v xml:space="preserve"> </v>
      </c>
      <c r="M11" s="12"/>
      <c r="N11" s="10" t="str">
        <f t="shared" ref="N11" si="9">IF(OR(F11="",H11=""),"",IF(OR(F11=-1,H11=-1),0,IF(H11&gt;F11,$P$10,IF(H11=F11,$Q$10,$R$10))))</f>
        <v/>
      </c>
      <c r="U11" s="326" t="str">
        <f>IF(Init!$I$6=1,('POULE 3'!B9&amp;" / "&amp;'POULE 3'!C9),('POULE 3'!F9&amp;" / "&amp;'POULE 3'!G6))</f>
        <v xml:space="preserve">G3 / </v>
      </c>
      <c r="V11" s="291">
        <f>IF(L8=0,"",IF(L8=3,1,IF(L8=2,0.5,0)))</f>
        <v>0</v>
      </c>
      <c r="W11" s="291">
        <f>IF(L11=0,"",IF(L11=3,1,IF(L11=2,0.5,0)))</f>
        <v>0</v>
      </c>
      <c r="X11" s="291">
        <f>IF(N14=0,"",IF(N14=3,1,IF(N14=2,0.5,0)))</f>
        <v>0</v>
      </c>
      <c r="Y11" s="291">
        <f>IF(N16=0,"",IF(N16=3,1,IF(N16=2,0.5,0)))</f>
        <v>0</v>
      </c>
      <c r="Z11" s="291">
        <f>IF(N21=0,"",IF(N21=3,1,IF(N21=2,0.5,0)))</f>
        <v>0</v>
      </c>
      <c r="AA11" s="291">
        <f>IF(L23=0,"",IF(L23=3,1,IF(L23=2,0.5,0)))</f>
        <v>0</v>
      </c>
      <c r="AB11" s="291">
        <f t="shared" si="2"/>
        <v>0</v>
      </c>
      <c r="AC11" s="291">
        <f t="shared" si="3"/>
        <v>6</v>
      </c>
      <c r="AD11" s="291">
        <f t="shared" si="4"/>
        <v>0</v>
      </c>
      <c r="AE11" s="133">
        <f t="shared" si="5"/>
        <v>6</v>
      </c>
    </row>
    <row r="12" spans="1:40" s="2" customFormat="1" ht="18" customHeight="1" x14ac:dyDescent="0.2">
      <c r="A12" s="2">
        <v>8</v>
      </c>
      <c r="B12" s="174" t="str">
        <f>IF(Init!I6=1,IF('POULE 3'!$C$6="","",'POULE 3'!$C$6),IF('POULE 3'!$C$6="","",'POULE 3'!$F$6&amp;" / "&amp;'POULE 3'!#REF!))</f>
        <v>2AGORA</v>
      </c>
      <c r="C12" s="175" t="s">
        <v>9</v>
      </c>
      <c r="D12" s="170" t="str">
        <f>IF(Init!I6=1,IF('POULE 3'!$C$3="","",'POULE 3'!$C$3),IF('POULE 3'!$C$3="","",'POULE 3'!$F$3&amp;" / "&amp;'POULE 3'!$G$3))</f>
        <v>TG5</v>
      </c>
      <c r="E12" s="29"/>
      <c r="F12" s="15"/>
      <c r="G12" s="11" t="s">
        <v>1</v>
      </c>
      <c r="H12" s="17"/>
      <c r="I12" s="8"/>
      <c r="J12" s="3"/>
      <c r="K12" s="3"/>
      <c r="L12" s="9" t="str">
        <f t="shared" si="0"/>
        <v xml:space="preserve"> </v>
      </c>
      <c r="M12" s="12"/>
      <c r="N12" s="10" t="str">
        <f t="shared" si="1"/>
        <v/>
      </c>
    </row>
    <row r="13" spans="1:40" s="2" customFormat="1" ht="18" customHeight="1" x14ac:dyDescent="0.2">
      <c r="A13" s="2">
        <v>9</v>
      </c>
      <c r="B13" s="281" t="str">
        <f>IF(Init!I6=1,IF('POULE 3'!$C$8="","",'POULE 3'!$C$4),IF('POULE 3'!$C$4="","",'POULE 3'!$F$4&amp;" / "&amp;'POULE 3'!$G$4))</f>
        <v>2n9</v>
      </c>
      <c r="C13" s="175" t="s">
        <v>9</v>
      </c>
      <c r="D13" s="169" t="str">
        <f>IF(Init!I6=1,IF('POULE 3'!$C$5="","",'POULE 3'!$C$5),IF('POULE 3'!$C$5="","",'POULE 3'!$F$5&amp;" / "&amp;'POULE 3'!$G$5))</f>
        <v>1G4</v>
      </c>
      <c r="E13" s="29"/>
      <c r="F13" s="15"/>
      <c r="G13" s="11" t="s">
        <v>1</v>
      </c>
      <c r="H13" s="17"/>
      <c r="I13" s="8"/>
      <c r="J13" s="3"/>
      <c r="K13" s="3"/>
      <c r="L13" s="9" t="str">
        <f t="shared" si="0"/>
        <v xml:space="preserve"> </v>
      </c>
      <c r="M13" s="12"/>
      <c r="N13" s="10" t="str">
        <f t="shared" si="1"/>
        <v/>
      </c>
    </row>
    <row r="14" spans="1:40" s="2" customFormat="1" ht="18" customHeight="1" x14ac:dyDescent="0.2">
      <c r="A14" s="2">
        <v>10</v>
      </c>
      <c r="B14" s="173" t="str">
        <f>IF(Init!I6=1,IF('POULE 3'!$C$7="","",'POULE 3'!$C$7),IF('POULE 3'!$C$7="","",'POULE 3'!$F$7&amp;" / "&amp;'POULE 3'!$G$7))</f>
        <v>TG9</v>
      </c>
      <c r="C14" s="175" t="s">
        <v>9</v>
      </c>
      <c r="D14" s="172" t="str">
        <f>IF(Init!I6=1,IF('POULE 3'!$C$9="","",'POULE 3'!$B$9&amp;" / "&amp;'POULE 3'!$C$9),IF('POULE 3'!$C$9="","",'POULE 3'!$F$9&amp;" / "&amp;'POULE 3'!$G$6))</f>
        <v/>
      </c>
      <c r="E14" s="29"/>
      <c r="F14" s="15"/>
      <c r="G14" s="11" t="s">
        <v>1</v>
      </c>
      <c r="H14" s="17"/>
      <c r="I14" s="8"/>
      <c r="J14" s="3"/>
      <c r="K14" s="3"/>
      <c r="L14" s="9" t="str">
        <f t="shared" ref="L14" si="10">IF(OR(F14="",H14="")," ",IF(OR(F14=-1,H14=-1),0,IF(F14&gt;H14,$P$10,IF(F14=H14,$Q$10,$R$10))))</f>
        <v xml:space="preserve"> </v>
      </c>
      <c r="M14" s="12"/>
      <c r="N14" s="10" t="str">
        <f t="shared" ref="N14" si="11">IF(OR(F14="",H14=""),"",IF(OR(F14=-1,H14=-1),0,IF(H14&gt;F14,$P$10,IF(H14=F14,$Q$10,$R$10))))</f>
        <v/>
      </c>
    </row>
    <row r="15" spans="1:40" s="4" customFormat="1" ht="18" customHeight="1" x14ac:dyDescent="0.2">
      <c r="A15" s="2">
        <v>11</v>
      </c>
      <c r="B15" s="171" t="str">
        <f>IF(Init!I6=1,IF('POULE 3'!$C$8="","",'POULE 3'!$C$8),IF('POULE 3'!$C$8="","",'POULE 3'!$F$8&amp;" / "&amp;'POULE 3'!$G$8))</f>
        <v>TSTMG3</v>
      </c>
      <c r="C15" s="175" t="s">
        <v>9</v>
      </c>
      <c r="D15" s="170" t="str">
        <f>IF(Init!I6=1,IF('POULE 3'!$C$3="","",'POULE 3'!$C$3),IF('POULE 3'!$C$3="","",'POULE 3'!$F$3&amp;" / "&amp;'POULE 3'!$G$3))</f>
        <v>TG5</v>
      </c>
      <c r="E15" s="28"/>
      <c r="F15" s="15"/>
      <c r="G15" s="11" t="s">
        <v>1</v>
      </c>
      <c r="H15" s="17"/>
      <c r="I15" s="8"/>
      <c r="J15" s="3"/>
      <c r="K15" s="3"/>
      <c r="L15" s="9" t="str">
        <f t="shared" si="0"/>
        <v xml:space="preserve"> </v>
      </c>
      <c r="M15" s="12"/>
      <c r="N15" s="10" t="str">
        <f t="shared" si="1"/>
        <v/>
      </c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</row>
    <row r="16" spans="1:40" s="4" customFormat="1" ht="18" customHeight="1" x14ac:dyDescent="0.2">
      <c r="A16" s="2">
        <v>12</v>
      </c>
      <c r="B16" s="281" t="str">
        <f>IF(Init!I6=1,IF('POULE 3'!$C$8="","",'POULE 3'!$C$4),IF('POULE 3'!$C$4="","",'POULE 3'!$F$4&amp;" / "&amp;'POULE 3'!$G$4))</f>
        <v>2n9</v>
      </c>
      <c r="C16" s="175" t="s">
        <v>9</v>
      </c>
      <c r="D16" s="172" t="str">
        <f>IF(Init!I6=1,IF('POULE 3'!$C$9="","",'POULE 3'!$B$9&amp;" / "&amp;'POULE 3'!$C$9),IF('POULE 3'!$C$9="","",'POULE 3'!$F$9&amp;" / "&amp;'POULE 3'!$G$6))</f>
        <v/>
      </c>
      <c r="E16" s="28"/>
      <c r="F16" s="15"/>
      <c r="G16" s="11" t="s">
        <v>1</v>
      </c>
      <c r="H16" s="17"/>
      <c r="I16" s="8"/>
      <c r="J16" s="3"/>
      <c r="K16" s="3"/>
      <c r="L16" s="9" t="str">
        <f t="shared" ref="L16" si="12">IF(OR(F16="",H16="")," ",IF(OR(F16=-1,H16=-1),0,IF(F16&gt;H16,$P$10,IF(F16=H16,$Q$10,$R$10))))</f>
        <v xml:space="preserve"> </v>
      </c>
      <c r="M16" s="12"/>
      <c r="N16" s="10" t="str">
        <f t="shared" ref="N16" si="13">IF(OR(F16="",H16=""),"",IF(OR(F16=-1,H16=-1),0,IF(H16&gt;F16,$P$10,IF(H16=F16,$Q$10,$R$10))))</f>
        <v/>
      </c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</row>
    <row r="17" spans="1:40" s="4" customFormat="1" ht="18" customHeight="1" x14ac:dyDescent="0.2">
      <c r="A17" s="2">
        <v>13</v>
      </c>
      <c r="B17" s="169" t="str">
        <f>IF(Init!I6=1,IF('POULE 3'!$C$5="","",'POULE 3'!$C$5),IF('POULE 3'!$C$5="","",'POULE 3'!$F$5&amp;" / "&amp;'POULE 3'!$G$5))</f>
        <v>1G4</v>
      </c>
      <c r="C17" s="175" t="s">
        <v>9</v>
      </c>
      <c r="D17" s="171" t="str">
        <f>IF(Init!I6=1,IF('POULE 3'!$C$8="","",'POULE 3'!$C$8),IF('POULE 3'!$C$8="","",'POULE 3'!$F$8&amp;" / "&amp;'POULE 3'!$G$8))</f>
        <v>TSTMG3</v>
      </c>
      <c r="E17" s="28"/>
      <c r="F17" s="15"/>
      <c r="G17" s="11" t="s">
        <v>1</v>
      </c>
      <c r="H17" s="17"/>
      <c r="I17" s="8"/>
      <c r="J17" s="3"/>
      <c r="K17" s="3"/>
      <c r="L17" s="9" t="str">
        <f t="shared" si="0"/>
        <v xml:space="preserve"> </v>
      </c>
      <c r="M17" s="12"/>
      <c r="N17" s="10" t="str">
        <f t="shared" si="1"/>
        <v/>
      </c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</row>
    <row r="18" spans="1:40" s="4" customFormat="1" ht="18" customHeight="1" x14ac:dyDescent="0.2">
      <c r="A18" s="2">
        <v>14</v>
      </c>
      <c r="B18" s="174" t="str">
        <f>IF(Init!I6=1,IF('POULE 3'!$C$6="","",'POULE 3'!$C$6),IF('POULE 3'!$C$6="","",'POULE 3'!$F$6&amp;" / "&amp;'POULE 3'!#REF!))</f>
        <v>2AGORA</v>
      </c>
      <c r="C18" s="175" t="s">
        <v>9</v>
      </c>
      <c r="D18" s="173" t="str">
        <f>IF(Init!I6=1,IF('POULE 3'!$C$7="","",'POULE 3'!$C$7),IF('POULE 3'!$C$7="","",'POULE 3'!$F$7&amp;" / "&amp;'POULE 3'!$G$7))</f>
        <v>TG9</v>
      </c>
      <c r="E18" s="28"/>
      <c r="F18" s="15"/>
      <c r="G18" s="11" t="s">
        <v>1</v>
      </c>
      <c r="H18" s="17"/>
      <c r="I18" s="8"/>
      <c r="J18" s="3"/>
      <c r="K18" s="3"/>
      <c r="L18" s="9" t="str">
        <f t="shared" si="0"/>
        <v xml:space="preserve"> </v>
      </c>
      <c r="M18" s="12"/>
      <c r="N18" s="10" t="str">
        <f t="shared" si="1"/>
        <v/>
      </c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</row>
    <row r="19" spans="1:40" s="4" customFormat="1" ht="18" customHeight="1" x14ac:dyDescent="0.2">
      <c r="A19" s="2">
        <v>15</v>
      </c>
      <c r="B19" s="170" t="str">
        <f>IF(Init!I6=1,IF('POULE 3'!$C$3="","",'POULE 3'!$C$3),IF('POULE 3'!$C$3="","",'POULE 3'!$F$3&amp;" / "&amp;'POULE 3'!$G$3))</f>
        <v>TG5</v>
      </c>
      <c r="C19" s="175" t="s">
        <v>9</v>
      </c>
      <c r="D19" s="169" t="str">
        <f>IF(Init!I6=1,IF('POULE 3'!$C$5="","",'POULE 3'!$C$5),IF('POULE 3'!$C$5="","",'POULE 3'!$F$5&amp;" / "&amp;'POULE 3'!$G$5))</f>
        <v>1G4</v>
      </c>
      <c r="E19" s="28"/>
      <c r="F19" s="15"/>
      <c r="G19" s="11" t="s">
        <v>1</v>
      </c>
      <c r="H19" s="17"/>
      <c r="I19" s="8"/>
      <c r="J19" s="3"/>
      <c r="K19" s="3"/>
      <c r="L19" s="9" t="str">
        <f t="shared" si="0"/>
        <v xml:space="preserve"> </v>
      </c>
      <c r="M19" s="12"/>
      <c r="N19" s="10" t="str">
        <f t="shared" si="1"/>
        <v/>
      </c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</row>
    <row r="20" spans="1:40" ht="18" customHeight="1" x14ac:dyDescent="0.2">
      <c r="A20" s="2">
        <v>16</v>
      </c>
      <c r="B20" s="281" t="str">
        <f>IF(Init!I6=1,IF('POULE 3'!$C$8="","",'POULE 3'!$C$4),IF('POULE 3'!$C$4="","",'POULE 3'!$F$4&amp;" / "&amp;'POULE 3'!$G$4))</f>
        <v>2n9</v>
      </c>
      <c r="C20" s="175" t="s">
        <v>9</v>
      </c>
      <c r="D20" s="171" t="str">
        <f>IF(Init!I6=1,IF('POULE 3'!$C$8="","",'POULE 3'!$C$8),IF('POULE 3'!$C$8="","",'POULE 3'!$F$8&amp;" / "&amp;'POULE 3'!$G$8))</f>
        <v>TSTMG3</v>
      </c>
      <c r="F20" s="15"/>
      <c r="G20" s="11" t="s">
        <v>1</v>
      </c>
      <c r="H20" s="17"/>
      <c r="I20" s="8"/>
      <c r="J20" s="3"/>
      <c r="K20" s="3"/>
      <c r="L20" s="9" t="str">
        <f t="shared" ref="L20:L25" si="14">IF(OR(F20="",H20="")," ",IF(F20&gt;H20,$P$10,IF(F20=H20,$Q$10,$R$10)))</f>
        <v xml:space="preserve"> </v>
      </c>
      <c r="M20" s="12"/>
      <c r="N20" s="10" t="str">
        <f t="shared" ref="N20:N25" si="15">IF(OR(F20="",H20=""),"",IF(H20&gt;F20,$P$10,IF(H20=F20,$Q$10,$R$10)))</f>
        <v/>
      </c>
    </row>
    <row r="21" spans="1:40" ht="18" customHeight="1" x14ac:dyDescent="0.2">
      <c r="A21" s="2">
        <v>17</v>
      </c>
      <c r="B21" s="174" t="str">
        <f>IF(Init!I6=1,IF('POULE 3'!$C$6="","",'POULE 3'!$C$6),IF('POULE 3'!$C$6="","",'POULE 3'!$F$6&amp;" / "&amp;'POULE 3'!#REF!))</f>
        <v>2AGORA</v>
      </c>
      <c r="C21" s="175" t="s">
        <v>9</v>
      </c>
      <c r="D21" s="172" t="str">
        <f>IF(Init!I6=1,IF('POULE 3'!$C$9="","",'POULE 3'!$B$9&amp;" / "&amp;'POULE 3'!$C$9),IF('POULE 3'!$C$9="","",'POULE 3'!$F$9&amp;" / "&amp;'POULE 3'!$G$6))</f>
        <v/>
      </c>
      <c r="F21" s="15"/>
      <c r="G21" s="11" t="s">
        <v>1</v>
      </c>
      <c r="H21" s="17"/>
      <c r="I21" s="8"/>
      <c r="J21" s="3"/>
      <c r="K21" s="3"/>
      <c r="L21" s="9" t="str">
        <f t="shared" ref="L21" si="16">IF(OR(F21="",H21="")," ",IF(OR(F21=-1,H21=-1),0,IF(F21&gt;H21,$P$10,IF(F21=H21,$Q$10,$R$10))))</f>
        <v xml:space="preserve"> </v>
      </c>
      <c r="M21" s="12"/>
      <c r="N21" s="10" t="str">
        <f t="shared" ref="N21" si="17">IF(OR(F21="",H21=""),"",IF(OR(F21=-1,H21=-1),0,IF(H21&gt;F21,$P$10,IF(H21=F21,$Q$10,$R$10))))</f>
        <v/>
      </c>
    </row>
    <row r="22" spans="1:40" ht="18" customHeight="1" x14ac:dyDescent="0.2">
      <c r="A22" s="2">
        <v>18</v>
      </c>
      <c r="B22" s="170" t="str">
        <f>IF(Init!I6=1,IF('POULE 3'!$C$3="","",'POULE 3'!$C$3),IF('POULE 3'!$C$3="","",'POULE 3'!$F$3&amp;" / "&amp;'POULE 3'!$G$3))</f>
        <v>TG5</v>
      </c>
      <c r="C22" s="175" t="s">
        <v>9</v>
      </c>
      <c r="D22" s="173" t="str">
        <f>IF(Init!I6=1,IF('POULE 3'!$C$7="","",'POULE 3'!$C$7),IF('POULE 3'!$C$7="","",'POULE 3'!$F$7&amp;" / "&amp;'POULE 3'!$G$7))</f>
        <v>TG9</v>
      </c>
      <c r="F22" s="15"/>
      <c r="G22" s="11" t="s">
        <v>1</v>
      </c>
      <c r="H22" s="17"/>
      <c r="I22" s="8"/>
      <c r="J22" s="3"/>
      <c r="K22" s="3"/>
      <c r="L22" s="9" t="str">
        <f t="shared" si="14"/>
        <v xml:space="preserve"> </v>
      </c>
      <c r="M22" s="12"/>
      <c r="N22" s="10" t="str">
        <f t="shared" si="15"/>
        <v/>
      </c>
    </row>
    <row r="23" spans="1:40" ht="18" customHeight="1" x14ac:dyDescent="0.2">
      <c r="A23" s="2">
        <v>19</v>
      </c>
      <c r="B23" s="172" t="str">
        <f>IF(Init!I6=1,IF('POULE 3'!$C$9="","",'POULE 3'!$B$9&amp;" / "&amp;'POULE 3'!$C$9),IF('POULE 3'!$C$9="","",'POULE 3'!$F$9&amp;" / "&amp;'POULE 3'!$G$6))</f>
        <v/>
      </c>
      <c r="C23" s="175" t="s">
        <v>9</v>
      </c>
      <c r="D23" s="169" t="str">
        <f>IF(Init!I6=1,IF('POULE 3'!$C$5="","",'POULE 3'!$C$5),IF('POULE 3'!$C$5="","",'POULE 3'!$F$5&amp;" / "&amp;'POULE 3'!$G$5))</f>
        <v>1G4</v>
      </c>
      <c r="F23" s="15"/>
      <c r="G23" s="11" t="s">
        <v>1</v>
      </c>
      <c r="H23" s="17"/>
      <c r="I23" s="8"/>
      <c r="J23" s="3"/>
      <c r="K23" s="3"/>
      <c r="L23" s="9" t="str">
        <f t="shared" ref="L23" si="18">IF(OR(F23="",H23="")," ",IF(OR(F23=-1,H23=-1),0,IF(F23&gt;H23,$P$10,IF(F23=H23,$Q$10,$R$10))))</f>
        <v xml:space="preserve"> </v>
      </c>
      <c r="M23" s="12"/>
      <c r="N23" s="10" t="str">
        <f t="shared" ref="N23" si="19">IF(OR(F23="",H23=""),"",IF(OR(F23=-1,H23=-1),0,IF(H23&gt;F23,$P$10,IF(H23=F23,$Q$10,$R$10))))</f>
        <v/>
      </c>
    </row>
    <row r="24" spans="1:40" ht="18" customHeight="1" x14ac:dyDescent="0.2">
      <c r="A24" s="2">
        <v>20</v>
      </c>
      <c r="B24" s="174" t="str">
        <f>IF(Init!I6=1,IF('POULE 3'!$C$6="","",'POULE 3'!$C$6),IF('POULE 3'!$C$6="","",'POULE 3'!$F$6&amp;" / "&amp;'POULE 3'!#REF!))</f>
        <v>2AGORA</v>
      </c>
      <c r="C24" s="175" t="s">
        <v>9</v>
      </c>
      <c r="D24" s="171" t="str">
        <f>IF(Init!I6=1,IF('POULE 3'!$C$8="","",'POULE 3'!$C$8),IF('POULE 3'!$C$8="","",'POULE 3'!$F$8&amp;" / "&amp;'POULE 3'!$G$8))</f>
        <v>TSTMG3</v>
      </c>
      <c r="F24" s="15"/>
      <c r="G24" s="11" t="s">
        <v>1</v>
      </c>
      <c r="H24" s="17"/>
      <c r="I24" s="8"/>
      <c r="J24" s="3"/>
      <c r="K24" s="3"/>
      <c r="L24" s="9" t="str">
        <f t="shared" si="14"/>
        <v xml:space="preserve"> </v>
      </c>
      <c r="M24" s="12"/>
      <c r="N24" s="10" t="str">
        <f t="shared" si="15"/>
        <v/>
      </c>
    </row>
    <row r="25" spans="1:40" ht="18" customHeight="1" thickBot="1" x14ac:dyDescent="0.25">
      <c r="A25" s="2">
        <v>21</v>
      </c>
      <c r="B25" s="281" t="str">
        <f>IF(Init!I6=1,IF('POULE 3'!$C$8="","",'POULE 3'!$C$4),IF('POULE 3'!$C$4="","",'POULE 3'!$F$4&amp;" / "&amp;'POULE 3'!$G$4))</f>
        <v>2n9</v>
      </c>
      <c r="C25" s="175" t="s">
        <v>9</v>
      </c>
      <c r="D25" s="173" t="str">
        <f>IF(Init!I6=1,IF('POULE 3'!$C$7="","",'POULE 3'!$C$7),IF('POULE 3'!$C$7="","",'POULE 3'!$F$7&amp;" / "&amp;'POULE 3'!$G$7))</f>
        <v>TG9</v>
      </c>
      <c r="F25" s="16"/>
      <c r="G25" s="11" t="s">
        <v>1</v>
      </c>
      <c r="H25" s="18"/>
      <c r="I25" s="8"/>
      <c r="J25" s="3"/>
      <c r="K25" s="3"/>
      <c r="L25" s="9" t="str">
        <f t="shared" si="14"/>
        <v xml:space="preserve"> </v>
      </c>
      <c r="M25" s="12"/>
      <c r="N25" s="10" t="str">
        <f t="shared" si="15"/>
        <v/>
      </c>
    </row>
  </sheetData>
  <sheetProtection sheet="1" objects="1" scenarios="1"/>
  <mergeCells count="3">
    <mergeCell ref="F4:H4"/>
    <mergeCell ref="L4:N4"/>
    <mergeCell ref="P8:R8"/>
  </mergeCells>
  <conditionalFormatting sqref="L5:N7 L9:N10 M8 L12:N13 M11 L15:N15 M14 L17:N20 M16 L22:N22 M21 L24:N25 M23">
    <cfRule type="cellIs" dxfId="30" priority="28" stopIfTrue="1" operator="equal">
      <formula>3</formula>
    </cfRule>
    <cfRule type="cellIs" dxfId="29" priority="29" stopIfTrue="1" operator="equal">
      <formula>1</formula>
    </cfRule>
    <cfRule type="cellIs" dxfId="28" priority="30" stopIfTrue="1" operator="equal">
      <formula>2</formula>
    </cfRule>
    <cfRule type="cellIs" dxfId="27" priority="31" stopIfTrue="1" operator="equal">
      <formula>2</formula>
    </cfRule>
  </conditionalFormatting>
  <conditionalFormatting sqref="L8">
    <cfRule type="cellIs" dxfId="26" priority="25" stopIfTrue="1" operator="equal">
      <formula>3</formula>
    </cfRule>
    <cfRule type="cellIs" dxfId="25" priority="26" stopIfTrue="1" operator="equal">
      <formula>2</formula>
    </cfRule>
    <cfRule type="cellIs" dxfId="24" priority="27" stopIfTrue="1" operator="equal">
      <formula>1</formula>
    </cfRule>
  </conditionalFormatting>
  <conditionalFormatting sqref="L11">
    <cfRule type="cellIs" dxfId="23" priority="22" stopIfTrue="1" operator="equal">
      <formula>3</formula>
    </cfRule>
    <cfRule type="cellIs" dxfId="22" priority="23" stopIfTrue="1" operator="equal">
      <formula>2</formula>
    </cfRule>
    <cfRule type="cellIs" dxfId="21" priority="24" stopIfTrue="1" operator="equal">
      <formula>1</formula>
    </cfRule>
  </conditionalFormatting>
  <conditionalFormatting sqref="L14">
    <cfRule type="cellIs" dxfId="20" priority="19" stopIfTrue="1" operator="equal">
      <formula>3</formula>
    </cfRule>
    <cfRule type="cellIs" dxfId="19" priority="20" stopIfTrue="1" operator="equal">
      <formula>2</formula>
    </cfRule>
    <cfRule type="cellIs" dxfId="18" priority="21" stopIfTrue="1" operator="equal">
      <formula>1</formula>
    </cfRule>
  </conditionalFormatting>
  <conditionalFormatting sqref="L16">
    <cfRule type="cellIs" dxfId="17" priority="16" stopIfTrue="1" operator="equal">
      <formula>3</formula>
    </cfRule>
    <cfRule type="cellIs" dxfId="16" priority="17" stopIfTrue="1" operator="equal">
      <formula>2</formula>
    </cfRule>
    <cfRule type="cellIs" dxfId="15" priority="18" stopIfTrue="1" operator="equal">
      <formula>1</formula>
    </cfRule>
  </conditionalFormatting>
  <conditionalFormatting sqref="L21">
    <cfRule type="cellIs" dxfId="14" priority="13" stopIfTrue="1" operator="equal">
      <formula>3</formula>
    </cfRule>
    <cfRule type="cellIs" dxfId="13" priority="14" stopIfTrue="1" operator="equal">
      <formula>2</formula>
    </cfRule>
    <cfRule type="cellIs" dxfId="12" priority="15" stopIfTrue="1" operator="equal">
      <formula>1</formula>
    </cfRule>
  </conditionalFormatting>
  <conditionalFormatting sqref="L23">
    <cfRule type="cellIs" dxfId="11" priority="10" stopIfTrue="1" operator="equal">
      <formula>3</formula>
    </cfRule>
    <cfRule type="cellIs" dxfId="10" priority="11" stopIfTrue="1" operator="equal">
      <formula>2</formula>
    </cfRule>
    <cfRule type="cellIs" dxfId="9" priority="12" stopIfTrue="1" operator="equal">
      <formula>1</formula>
    </cfRule>
  </conditionalFormatting>
  <conditionalFormatting sqref="N8">
    <cfRule type="cellIs" dxfId="8" priority="7" stopIfTrue="1" operator="equal">
      <formula>3</formula>
    </cfRule>
    <cfRule type="cellIs" dxfId="7" priority="8" stopIfTrue="1" operator="equal">
      <formula>2</formula>
    </cfRule>
    <cfRule type="cellIs" dxfId="6" priority="9" stopIfTrue="1" operator="equal">
      <formula>1</formula>
    </cfRule>
  </conditionalFormatting>
  <conditionalFormatting sqref="N11">
    <cfRule type="cellIs" dxfId="5" priority="4" stopIfTrue="1" operator="equal">
      <formula>3</formula>
    </cfRule>
    <cfRule type="cellIs" dxfId="4" priority="5" stopIfTrue="1" operator="equal">
      <formula>2</formula>
    </cfRule>
    <cfRule type="cellIs" dxfId="3" priority="6" stopIfTrue="1" operator="equal">
      <formula>1</formula>
    </cfRule>
  </conditionalFormatting>
  <conditionalFormatting sqref="N23 N21 N16 N14">
    <cfRule type="cellIs" dxfId="2" priority="1" stopIfTrue="1" operator="equal">
      <formula>3</formula>
    </cfRule>
    <cfRule type="cellIs" dxfId="1" priority="2" stopIfTrue="1" operator="equal">
      <formula>2</formula>
    </cfRule>
    <cfRule type="cellIs" dxfId="0" priority="3" stopIfTrue="1" operator="equal">
      <formula>1</formula>
    </cfRule>
  </conditionalFormatting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efface_score">
                <anchor moveWithCells="1" sizeWithCells="1">
                  <from>
                    <xdr:col>15</xdr:col>
                    <xdr:colOff>0</xdr:colOff>
                    <xdr:row>4</xdr:row>
                    <xdr:rowOff>9525</xdr:rowOff>
                  </from>
                  <to>
                    <xdr:col>18</xdr:col>
                    <xdr:colOff>0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change_pouleA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18</xdr:col>
                    <xdr:colOff>57150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_pouleB">
                <anchor moveWithCells="1" sizeWithCells="1">
                  <from>
                    <xdr:col>16</xdr:col>
                    <xdr:colOff>0</xdr:colOff>
                    <xdr:row>14</xdr:row>
                    <xdr:rowOff>0</xdr:rowOff>
                  </from>
                  <to>
                    <xdr:col>18</xdr:col>
                    <xdr:colOff>57150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3"/>
  <dimension ref="A1:AP36"/>
  <sheetViews>
    <sheetView workbookViewId="0">
      <selection activeCell="T10" sqref="T10"/>
    </sheetView>
  </sheetViews>
  <sheetFormatPr baseColWidth="10" defaultRowHeight="12.75" x14ac:dyDescent="0.2"/>
  <cols>
    <col min="1" max="1" width="3.85546875" style="21" customWidth="1"/>
    <col min="2" max="2" width="23.7109375" customWidth="1"/>
    <col min="3" max="3" width="12.42578125" customWidth="1"/>
    <col min="4" max="4" width="11.140625" customWidth="1"/>
    <col min="5" max="6" width="10.42578125" customWidth="1"/>
    <col min="7" max="7" width="11.5703125" style="21" customWidth="1"/>
    <col min="8" max="16" width="11.5703125" style="21" hidden="1" customWidth="1"/>
    <col min="17" max="42" width="11.5703125" style="21" customWidth="1"/>
  </cols>
  <sheetData>
    <row r="1" spans="1:42" s="21" customFormat="1" x14ac:dyDescent="0.2"/>
    <row r="2" spans="1:42" s="6" customFormat="1" ht="27" customHeight="1" x14ac:dyDescent="0.2">
      <c r="A2" s="20"/>
      <c r="B2" s="187" t="str">
        <f>" Résultats non classés Terrain 1 Gymnase "&amp;Init!I7</f>
        <v xml:space="preserve"> Résultats non classés Terrain 1 Gymnase Lycée</v>
      </c>
      <c r="C2" s="7"/>
      <c r="D2" s="7"/>
      <c r="E2" s="7"/>
      <c r="F2" s="7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176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</row>
    <row r="3" spans="1:42" s="6" customFormat="1" ht="35.450000000000003" customHeight="1" x14ac:dyDescent="0.2">
      <c r="A3" s="20"/>
      <c r="B3" s="3" t="s">
        <v>2</v>
      </c>
      <c r="C3" s="13" t="s">
        <v>4</v>
      </c>
      <c r="D3" s="13" t="s">
        <v>12</v>
      </c>
      <c r="E3" s="13" t="s">
        <v>13</v>
      </c>
      <c r="F3" s="13" t="s">
        <v>14</v>
      </c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</row>
    <row r="4" spans="1:42" s="6" customFormat="1" ht="27" customHeight="1" x14ac:dyDescent="0.2">
      <c r="A4" s="20"/>
      <c r="B4" s="22" t="str">
        <f>IF(Init!I6=1,IF(POULE1!C3="","",POULE1!C3),IF(POULE1!G3="","",POULE1!G3))</f>
        <v>TG1</v>
      </c>
      <c r="C4" s="3" t="str">
        <f>IF(ISERROR('résultats POULE 1'!L5+'résultats POULE 1'!N8+'résultats POULE 1'!N12+'résultats POULE 1'!N15+'résultats POULE 1'!L19+'résultats POULE 1'!L22),"",('résultats POULE 1'!L5+'résultats POULE 1'!N8+'résultats POULE 1'!N12+'résultats POULE 1'!N15+'résultats POULE 1'!L19+'résultats POULE 1'!L22))</f>
        <v/>
      </c>
      <c r="D4" s="3">
        <f t="shared" ref="D4:D10" si="0">E4-F4</f>
        <v>0</v>
      </c>
      <c r="E4" s="3">
        <f>'résultats POULE 1'!F5+'résultats POULE 1'!H8+'résultats POULE 1'!H12+'résultats POULE 1'!H15+'résultats POULE 1'!F19+'résultats POULE 1'!F22</f>
        <v>0</v>
      </c>
      <c r="F4" s="3">
        <f>'résultats POULE 1'!H5+'résultats POULE 1'!F8+'résultats POULE 1'!F12+'résultats POULE 1'!F15+'résultats POULE 1'!H19+'résultats POULE 1'!H22</f>
        <v>0</v>
      </c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</row>
    <row r="5" spans="1:42" s="6" customFormat="1" ht="27" customHeight="1" x14ac:dyDescent="0.2">
      <c r="A5" s="20"/>
      <c r="B5" s="22" t="str">
        <f>IF(Init!I6=1,IF(POULE1!C4="","",POULE1!C4),IF(POULE1!G4="","",POULE1!G4))</f>
        <v>2n11</v>
      </c>
      <c r="C5" s="3" t="str">
        <f>IF(ISERROR('résultats POULE 1'!N5+'résultats POULE 1'!L9+'résultats POULE 1'!L13+'résultats POULE 1'!L16+'résultats POULE 1'!L20+'résultats POULE 1'!L25),"",('résultats POULE 1'!N5+'résultats POULE 1'!L9+'résultats POULE 1'!L13+'résultats POULE 1'!L16+'résultats POULE 1'!L20+'résultats POULE 1'!L25))</f>
        <v/>
      </c>
      <c r="D5" s="3">
        <f t="shared" si="0"/>
        <v>0</v>
      </c>
      <c r="E5" s="3">
        <f>'résultats POULE 1'!H5+'résultats POULE 1'!F9+'résultats POULE 1'!F13+'résultats POULE 1'!F16+'résultats POULE 1'!F20+'résultats POULE 1'!F25</f>
        <v>0</v>
      </c>
      <c r="F5" s="3">
        <f>'résultats POULE 1'!F5+'résultats POULE 1'!H9+'résultats POULE 1'!H13+'résultats POULE 1'!H16+'résultats POULE 1'!H20+'résultats POULE 1'!H25</f>
        <v>0</v>
      </c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</row>
    <row r="6" spans="1:42" s="6" customFormat="1" ht="27" customHeight="1" x14ac:dyDescent="0.2">
      <c r="A6" s="20"/>
      <c r="B6" s="22" t="str">
        <f>IF(Init!I6=1,IF(POULE1!C5="","",POULE1!C5),IF(POULE1!G5="","",POULE1!G5))</f>
        <v>1G1</v>
      </c>
      <c r="C6" s="3" t="str">
        <f>IF(ISERROR('résultats POULE 1'!L6+'résultats POULE 1'!L10+'résultats POULE 1'!N13+'résultats POULE 1'!L17+'résultats POULE 1'!N19+'résultats POULE 1'!N23),"",('résultats POULE 1'!L6+'résultats POULE 1'!L10+'résultats POULE 1'!N13+'résultats POULE 1'!L17+'résultats POULE 1'!N19+'résultats POULE 1'!N23))</f>
        <v/>
      </c>
      <c r="D6" s="3">
        <f t="shared" si="0"/>
        <v>0</v>
      </c>
      <c r="E6" s="3">
        <f>'résultats POULE 1'!F6+'résultats POULE 1'!F10+'résultats POULE 1'!H13+'résultats POULE 1'!F17+'résultats POULE 1'!H19+'résultats POULE 1'!H23</f>
        <v>0</v>
      </c>
      <c r="F6" s="3">
        <f>'résultats POULE 1'!H6+'résultats POULE 1'!H10+'résultats POULE 1'!F13+'résultats POULE 1'!H17+'résultats POULE 1'!F19+'résultats POULE 1'!F23</f>
        <v>0</v>
      </c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</row>
    <row r="7" spans="1:42" s="6" customFormat="1" ht="27" customHeight="1" x14ac:dyDescent="0.2">
      <c r="A7" s="20"/>
      <c r="B7" s="22" t="str">
        <f>IF(Init!I6=1,IF(POULE1!C6="","",POULE1!C6),IF(POULE1!G6="","",POULE1!G6))</f>
        <v>2n1</v>
      </c>
      <c r="C7" s="3" t="str">
        <f>IF(ISERROR('résultats POULE 1'!N6+'résultats POULE 1'!N9+'résultats POULE 1'!L12+'résultats POULE 1'!L18+'résultats POULE 1'!L21+'résultats POULE 1'!L24),"",('résultats POULE 1'!N6+'résultats POULE 1'!N9+'résultats POULE 1'!L12+'résultats POULE 1'!L18+'résultats POULE 1'!L21+'résultats POULE 1'!L24))</f>
        <v/>
      </c>
      <c r="D7" s="3">
        <f t="shared" si="0"/>
        <v>0</v>
      </c>
      <c r="E7" s="3">
        <f>'résultats POULE 1'!H6+'résultats POULE 1'!H9+'résultats POULE 1'!F12+'résultats POULE 1'!F18+'résultats POULE 1'!F21+'résultats POULE 1'!F24</f>
        <v>0</v>
      </c>
      <c r="F7" s="3">
        <f>'résultats POULE 1'!F6+'résultats POULE 1'!F9+'résultats POULE 1'!H12+'résultats POULE 1'!H18+'résultats POULE 1'!H21+'résultats POULE 1'!H24</f>
        <v>0</v>
      </c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</row>
    <row r="8" spans="1:42" s="6" customFormat="1" ht="27" customHeight="1" x14ac:dyDescent="0.2">
      <c r="A8" s="20"/>
      <c r="B8" s="22" t="str">
        <f>IF(Init!I6=1,IF(POULE1!C7="","",POULE1!C7),IF(POULE1!G7="","",POULE1!G7))</f>
        <v>TAGORA</v>
      </c>
      <c r="C8" s="3" t="str">
        <f>IF(ISERROR('résultats POULE 1'!N7+'résultats POULE 1'!N10+'résultats POULE 1'!L14+'résultats POULE 1'!N18+'résultats POULE 1'!N22+'résultats POULE 1'!N25),"",('résultats POULE 1'!N7+'résultats POULE 1'!N10+'résultats POULE 1'!L14+'résultats POULE 1'!N18+'résultats POULE 1'!N22+'résultats POULE 1'!N25))</f>
        <v/>
      </c>
      <c r="D8" s="3">
        <f t="shared" si="0"/>
        <v>0</v>
      </c>
      <c r="E8" s="3">
        <f>'résultats POULE 1'!H7+'résultats POULE 1'!H10+'résultats POULE 1'!F14+'résultats POULE 1'!H18+'résultats POULE 1'!H22+'résultats POULE 1'!H25</f>
        <v>0</v>
      </c>
      <c r="F8" s="3">
        <f>'résultats POULE 1'!F7+'résultats POULE 1'!F10+'résultats POULE 1'!H14+'résultats POULE 1'!F18+'résultats POULE 1'!F22+'résultats POULE 1'!F25</f>
        <v>0</v>
      </c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</row>
    <row r="9" spans="1:42" ht="30" customHeight="1" x14ac:dyDescent="0.2">
      <c r="B9" s="22" t="str">
        <f>IF(Init!I6=1,IF(POULE1!C8="","",POULE1!C8),IF(POULE1!G8="","",POULE1!G8))</f>
        <v>1STMG3</v>
      </c>
      <c r="C9" s="3" t="str">
        <f>IF(ISERROR('résultats POULE 1'!L7+'résultats POULE 1'!N11+'résultats POULE 1'!L15+'résultats POULE 1'!N17+'résultats POULE 1'!N20+'résultats POULE 1'!N24),"",('résultats POULE 1'!L7+'résultats POULE 1'!N11+'résultats POULE 1'!L15+'résultats POULE 1'!N17+'résultats POULE 1'!N20+'résultats POULE 1'!N24))</f>
        <v/>
      </c>
      <c r="D9" s="3">
        <f t="shared" si="0"/>
        <v>0</v>
      </c>
      <c r="E9" s="3">
        <f>'résultats POULE 1'!F7+'résultats POULE 1'!H11+'résultats POULE 1'!F15+'résultats POULE 1'!H17+'résultats POULE 1'!H20+'résultats POULE 1'!H24</f>
        <v>0</v>
      </c>
      <c r="F9" s="3">
        <f>'résultats POULE 1'!H7+'résultats POULE 1'!F11+'résultats POULE 1'!H15+'résultats POULE 1'!F17+'résultats POULE 1'!F20+'résultats POULE 1'!F24</f>
        <v>0</v>
      </c>
      <c r="G9" s="20"/>
    </row>
    <row r="10" spans="1:42" s="21" customFormat="1" ht="30" customHeight="1" x14ac:dyDescent="0.2">
      <c r="B10" s="22" t="str">
        <f>IF(Init!I6=1,IF(POULE1!C9="","",POULE1!C9),IF(POULE1!G9="","",POULE1!G9))</f>
        <v/>
      </c>
      <c r="C10" s="3" t="str">
        <f>IF(ISERROR('résultats POULE 1'!L8+'résultats POULE 1'!L11+'résultats POULE 1'!N14+'résultats POULE 1'!N16+'résultats POULE 1'!N21+'résultats POULE 1'!L23),"",('résultats POULE 1'!L8+'résultats POULE 1'!L11+'résultats POULE 1'!N14+'résultats POULE 1'!N16+'résultats POULE 1'!N21+'résultats POULE 1'!L23))</f>
        <v/>
      </c>
      <c r="D10" s="3">
        <f t="shared" si="0"/>
        <v>0</v>
      </c>
      <c r="E10" s="3">
        <f>'résultats POULE 1'!F8+'résultats POULE 1'!F11+'résultats POULE 1'!H14+'résultats POULE 1'!H16+'résultats POULE 1'!H21+'résultats POULE 1'!F23</f>
        <v>0</v>
      </c>
      <c r="F10" s="3">
        <f>'résultats POULE 1'!H8+'résultats POULE 1'!H11+'résultats POULE 1'!F14+'résultats POULE 1'!F16+'résultats POULE 1'!F21+'résultats POULE 1'!H23</f>
        <v>0</v>
      </c>
      <c r="G10" s="20"/>
    </row>
    <row r="11" spans="1:42" s="21" customFormat="1" x14ac:dyDescent="0.2"/>
    <row r="12" spans="1:42" s="21" customFormat="1" x14ac:dyDescent="0.2"/>
    <row r="13" spans="1:42" s="21" customFormat="1" x14ac:dyDescent="0.2"/>
    <row r="14" spans="1:42" s="21" customFormat="1" x14ac:dyDescent="0.2"/>
    <row r="15" spans="1:42" s="21" customFormat="1" x14ac:dyDescent="0.2"/>
    <row r="16" spans="1:42" s="21" customFormat="1" x14ac:dyDescent="0.2"/>
    <row r="17" s="21" customFormat="1" x14ac:dyDescent="0.2"/>
    <row r="18" s="21" customFormat="1" x14ac:dyDescent="0.2"/>
    <row r="19" s="21" customFormat="1" x14ac:dyDescent="0.2"/>
    <row r="20" s="21" customFormat="1" x14ac:dyDescent="0.2"/>
    <row r="21" s="21" customFormat="1" x14ac:dyDescent="0.2"/>
    <row r="22" s="21" customFormat="1" x14ac:dyDescent="0.2"/>
    <row r="23" s="21" customFormat="1" x14ac:dyDescent="0.2"/>
    <row r="24" s="21" customFormat="1" x14ac:dyDescent="0.2"/>
    <row r="25" s="21" customFormat="1" x14ac:dyDescent="0.2"/>
    <row r="26" s="21" customFormat="1" x14ac:dyDescent="0.2"/>
    <row r="27" s="21" customFormat="1" x14ac:dyDescent="0.2"/>
    <row r="28" s="21" customFormat="1" x14ac:dyDescent="0.2"/>
    <row r="29" s="21" customFormat="1" x14ac:dyDescent="0.2"/>
    <row r="30" s="21" customFormat="1" x14ac:dyDescent="0.2"/>
    <row r="31" s="21" customFormat="1" x14ac:dyDescent="0.2"/>
    <row r="32" s="21" customFormat="1" x14ac:dyDescent="0.2"/>
    <row r="33" s="21" customFormat="1" x14ac:dyDescent="0.2"/>
    <row r="34" s="21" customFormat="1" x14ac:dyDescent="0.2"/>
    <row r="35" s="21" customFormat="1" x14ac:dyDescent="0.2"/>
    <row r="36" s="21" customFormat="1" x14ac:dyDescent="0.2"/>
  </sheetData>
  <phoneticPr fontId="0" type="noConversion"/>
  <pageMargins left="0.78740157499999996" right="0.78740157499999996" top="0.984251969" bottom="0.984251969" header="0.4921259845" footer="0.4921259845"/>
  <headerFooter alignWithMargins="0">
    <oddHeader>&amp;A</oddHeader>
    <oddFooter>Page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9"/>
  <dimension ref="A1:AP36"/>
  <sheetViews>
    <sheetView workbookViewId="0">
      <selection activeCell="B4" sqref="B4:F10"/>
    </sheetView>
  </sheetViews>
  <sheetFormatPr baseColWidth="10" defaultRowHeight="12.75" x14ac:dyDescent="0.2"/>
  <cols>
    <col min="1" max="1" width="3.85546875" style="21" customWidth="1"/>
    <col min="2" max="2" width="23.7109375" customWidth="1"/>
    <col min="3" max="3" width="12.42578125" customWidth="1"/>
    <col min="4" max="4" width="11.140625" customWidth="1"/>
    <col min="5" max="6" width="10.42578125" customWidth="1"/>
    <col min="7" max="7" width="11.5703125" style="21" customWidth="1"/>
    <col min="8" max="15" width="2.7109375" style="21" customWidth="1"/>
    <col min="16" max="42" width="11.5703125" style="21" customWidth="1"/>
  </cols>
  <sheetData>
    <row r="1" spans="1:42" s="21" customFormat="1" x14ac:dyDescent="0.2"/>
    <row r="2" spans="1:42" s="6" customFormat="1" ht="27" customHeight="1" x14ac:dyDescent="0.2">
      <c r="A2" s="20"/>
      <c r="B2" s="187" t="str">
        <f>"Résultats non classés Terrain 2 Gymnase "&amp;Init!I7</f>
        <v>Résultats non classés Terrain 2 Gymnase Lycée</v>
      </c>
      <c r="C2" s="7"/>
      <c r="D2" s="7"/>
      <c r="E2" s="7"/>
      <c r="F2" s="7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176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</row>
    <row r="3" spans="1:42" s="6" customFormat="1" ht="35.450000000000003" customHeight="1" x14ac:dyDescent="0.2">
      <c r="A3" s="20"/>
      <c r="B3" s="3" t="s">
        <v>2</v>
      </c>
      <c r="C3" s="13" t="s">
        <v>4</v>
      </c>
      <c r="D3" s="13" t="s">
        <v>12</v>
      </c>
      <c r="E3" s="13" t="s">
        <v>13</v>
      </c>
      <c r="F3" s="13" t="s">
        <v>14</v>
      </c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</row>
    <row r="4" spans="1:42" s="6" customFormat="1" ht="27" customHeight="1" x14ac:dyDescent="0.2">
      <c r="A4" s="20"/>
      <c r="B4" s="22" t="str">
        <f>IF(Init!I6=1,IF('POULE 2'!C3="","",'POULE 2'!C3),IF('POULE 2'!G3="","",'POULE 2'!G3))</f>
        <v>TG3</v>
      </c>
      <c r="C4" s="3" t="str">
        <f>IF(ISERROR('résultats POULE 2'!L5+'résultats POULE 2'!N8+'résultats POULE 2'!N12+'résultats POULE 2'!N15+'résultats POULE 2'!L19+'résultats POULE 2'!L22),"",('résultats POULE 2'!L5+'résultats POULE 2'!N8+'résultats POULE 2'!N12+'résultats POULE 2'!N15+'résultats POULE 2'!L19+'résultats POULE 2'!L22))</f>
        <v/>
      </c>
      <c r="D4" s="3">
        <f t="shared" ref="D4:D10" si="0">E4-F4</f>
        <v>0</v>
      </c>
      <c r="E4" s="3">
        <f>'résultats POULE 2'!F5+'résultats POULE 2'!H8+'résultats POULE 2'!H12+'résultats POULE 2'!H15+'résultats POULE 2'!F19+'résultats POULE 2'!F22</f>
        <v>0</v>
      </c>
      <c r="F4" s="3">
        <f>'résultats POULE 2'!H5+'résultats POULE 2'!F8+'résultats POULE 2'!F12+'résultats POULE 2'!F15+'résultats POULE 2'!H19+'résultats POULE 2'!H22</f>
        <v>0</v>
      </c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</row>
    <row r="5" spans="1:42" s="6" customFormat="1" ht="27" customHeight="1" x14ac:dyDescent="0.2">
      <c r="A5" s="20"/>
      <c r="B5" s="22" t="str">
        <f>IF(Init!I6=1,IF('POULE 2'!C4="","",'POULE 2'!C4),IF('POULE 2'!G4="","",'POULE 2'!G4))</f>
        <v>2n10</v>
      </c>
      <c r="C5" s="3" t="str">
        <f>IF(ISERROR('résultats POULE 2'!N5+'résultats POULE 2'!L9+'résultats POULE 2'!L13+'résultats POULE 2'!L16+'résultats POULE 2'!L20+'résultats POULE 2'!L25),"",('résultats POULE 2'!N5+'résultats POULE 2'!L9+'résultats POULE 2'!L13+'résultats POULE 2'!L16+'résultats POULE 2'!L20+'résultats POULE 2'!L25))</f>
        <v/>
      </c>
      <c r="D5" s="3">
        <f t="shared" si="0"/>
        <v>0</v>
      </c>
      <c r="E5" s="3">
        <f>'résultats POULE 2'!H5+'résultats POULE 2'!F9+'résultats POULE 2'!F13+'résultats POULE 2'!F16+'résultats POULE 2'!F20+'résultats POULE 2'!F25</f>
        <v>0</v>
      </c>
      <c r="F5" s="3">
        <f>'résultats POULE 2'!F5+'résultats POULE 2'!H9+'résultats POULE 2'!H13+'résultats POULE 2'!H16+'résultats POULE 2'!H20+'résultats POULE 2'!H25</f>
        <v>0</v>
      </c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</row>
    <row r="6" spans="1:42" s="6" customFormat="1" ht="27" customHeight="1" x14ac:dyDescent="0.2">
      <c r="A6" s="20"/>
      <c r="B6" s="22" t="str">
        <f>IF(Init!I6=1,IF('POULE 2'!C5="","",'POULE 2'!C5),IF('POULE 2'!G5="","",'POULE 2'!G5))</f>
        <v>1G2</v>
      </c>
      <c r="C6" s="3" t="str">
        <f>IF(ISERROR('résultats POULE 2'!L6+'résultats POULE 2'!L10+'résultats POULE 2'!N13+'résultats POULE 2'!L17+'résultats POULE 2'!N19+'résultats POULE 2'!N23),"",('résultats POULE 2'!L6+'résultats POULE 2'!L10+'résultats POULE 2'!N13+'résultats POULE 2'!L17+'résultats POULE 2'!N19+'résultats POULE 2'!N23))</f>
        <v/>
      </c>
      <c r="D6" s="3">
        <f t="shared" si="0"/>
        <v>0</v>
      </c>
      <c r="E6" s="3">
        <f>'résultats POULE 2'!F6+'résultats POULE 2'!F10+'résultats POULE 2'!H13+'résultats POULE 2'!F17+'résultats POULE 2'!H19+'résultats POULE 2'!H23</f>
        <v>0</v>
      </c>
      <c r="F6" s="3">
        <f>'résultats POULE 2'!H6+'résultats POULE 2'!H10+'résultats POULE 2'!F13+'résultats POULE 2'!H17+'résultats POULE 2'!F19+'résultats POULE 2'!F23</f>
        <v>0</v>
      </c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</row>
    <row r="7" spans="1:42" s="6" customFormat="1" ht="27" customHeight="1" x14ac:dyDescent="0.2">
      <c r="A7" s="20"/>
      <c r="B7" s="22" t="str">
        <f>IF(Init!I6=1,IF('POULE 2'!C6="","",'POULE 2'!C6),IF('POULE 2'!G6="","",'POULE 2'!G6))</f>
        <v>2n6</v>
      </c>
      <c r="C7" s="3" t="str">
        <f>IF(ISERROR('résultats POULE 2'!N6+'résultats POULE 2'!N9+'résultats POULE 2'!L12+'résultats POULE 2'!L18+'résultats POULE 2'!L21+'résultats POULE 2'!L24),"",('résultats POULE 2'!N6+'résultats POULE 2'!N9+'résultats POULE 2'!L12+'résultats POULE 2'!L18+'résultats POULE 2'!L21+'résultats POULE 2'!L24))</f>
        <v/>
      </c>
      <c r="D7" s="3">
        <f t="shared" si="0"/>
        <v>0</v>
      </c>
      <c r="E7" s="3">
        <f>'résultats POULE 2'!H6+'résultats POULE 2'!H9+'résultats POULE 2'!F12+'résultats POULE 2'!F18+'résultats POULE 2'!F21+'résultats POULE 2'!F24</f>
        <v>0</v>
      </c>
      <c r="F7" s="3">
        <f>'résultats POULE 2'!F6+'résultats POULE 2'!F9+'résultats POULE 2'!H12+'résultats POULE 2'!H18+'résultats POULE 2'!H21+'résultats POULE 2'!H24</f>
        <v>0</v>
      </c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</row>
    <row r="8" spans="1:42" s="6" customFormat="1" ht="27" customHeight="1" x14ac:dyDescent="0.2">
      <c r="A8" s="20"/>
      <c r="B8" s="22" t="str">
        <f>IF(Init!I6=1,IF('POULE 2'!C7="","",'POULE 2'!C7),IF('POULE 2'!G7="","",'POULE 2'!G7))</f>
        <v>TSTMG1</v>
      </c>
      <c r="C8" s="3" t="str">
        <f>IF(ISERROR('résultats POULE 2'!N7+'résultats POULE 2'!N10+'résultats POULE 2'!L14+'résultats POULE 2'!N18+'résultats POULE 2'!N22+'résultats POULE 2'!N25),"",('résultats POULE 2'!N7+'résultats POULE 2'!N10+'résultats POULE 2'!L14+'résultats POULE 2'!N18+'résultats POULE 2'!N22+'résultats POULE 2'!N25))</f>
        <v/>
      </c>
      <c r="D8" s="3">
        <f t="shared" si="0"/>
        <v>0</v>
      </c>
      <c r="E8" s="3">
        <f>'résultats POULE 2'!H7+'résultats POULE 2'!H10+'résultats POULE 2'!F14+'résultats POULE 2'!H18+'résultats POULE 2'!H22+'résultats POULE 2'!H25</f>
        <v>0</v>
      </c>
      <c r="F8" s="3">
        <f>'résultats POULE 2'!F7+'résultats POULE 2'!F10+'résultats POULE 2'!H14+'résultats POULE 2'!F18+'résultats POULE 2'!F22+'résultats POULE 2'!F25</f>
        <v>0</v>
      </c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</row>
    <row r="9" spans="1:42" ht="30" customHeight="1" x14ac:dyDescent="0.2">
      <c r="B9" s="22" t="str">
        <f>IF(Init!I6=1,IF('POULE 2'!C8="","",'POULE 2'!C8),IF('POULE 2'!G8="","",'POULE 2'!G8))</f>
        <v>1G6</v>
      </c>
      <c r="C9" s="3" t="str">
        <f>IF(ISERROR('résultats POULE 2'!L7+'résultats POULE 2'!N11+'résultats POULE 2'!L15+'résultats POULE 2'!N17+'résultats POULE 2'!N20+'résultats POULE 2'!N24),"",('résultats POULE 2'!L7+'résultats POULE 2'!N11+'résultats POULE 2'!L15+'résultats POULE 2'!N17+'résultats POULE 2'!N20+'résultats POULE 2'!N24))</f>
        <v/>
      </c>
      <c r="D9" s="3">
        <f t="shared" si="0"/>
        <v>0</v>
      </c>
      <c r="E9" s="3">
        <f>'résultats POULE 2'!F7+'résultats POULE 2'!H11+'résultats POULE 2'!F15+'résultats POULE 2'!H17+'résultats POULE 2'!H20+'résultats POULE 2'!H24</f>
        <v>0</v>
      </c>
      <c r="F9" s="3">
        <f>'résultats POULE 2'!H7+'résultats POULE 2'!F11+'résultats POULE 2'!H15+'résultats POULE 2'!F17+'résultats POULE 2'!F20+'résultats POULE 2'!F24</f>
        <v>0</v>
      </c>
      <c r="G9" s="20"/>
    </row>
    <row r="10" spans="1:42" s="21" customFormat="1" ht="30" customHeight="1" x14ac:dyDescent="0.2">
      <c r="B10" s="22" t="str">
        <f>IF(Init!I6=1,IF('POULE 2'!C9="","",'POULE 2'!C9),IF('POULE 2'!G9="","",'POULE 2'!G9))</f>
        <v/>
      </c>
      <c r="C10" s="3" t="str">
        <f>IF(ISERROR('résultats POULE 2'!L8+'résultats POULE 2'!L11+'résultats POULE 2'!N14+'résultats POULE 2'!N16+'résultats POULE 2'!N21+'résultats POULE 2'!L23),"",('résultats POULE 2'!L8+'résultats POULE 2'!L11+'résultats POULE 2'!N14+'résultats POULE 2'!N16+'résultats POULE 2'!N21+'résultats POULE 2'!L23))</f>
        <v/>
      </c>
      <c r="D10" s="3">
        <f t="shared" si="0"/>
        <v>0</v>
      </c>
      <c r="E10" s="3">
        <f>'résultats POULE 2'!F8+'résultats POULE 2'!F11+'résultats POULE 2'!H14+'résultats POULE 2'!H16+'résultats POULE 2'!H21+'résultats POULE 2'!F23</f>
        <v>0</v>
      </c>
      <c r="F10" s="3">
        <f>'résultats POULE 2'!H8+'résultats POULE 2'!H11+'résultats POULE 2'!F14+'résultats POULE 2'!F16+'résultats POULE 2'!F21+'résultats POULE 2'!H23</f>
        <v>0</v>
      </c>
      <c r="G10" s="20"/>
    </row>
    <row r="11" spans="1:42" s="21" customFormat="1" x14ac:dyDescent="0.2"/>
    <row r="12" spans="1:42" s="21" customFormat="1" x14ac:dyDescent="0.2"/>
    <row r="13" spans="1:42" s="21" customFormat="1" x14ac:dyDescent="0.2"/>
    <row r="14" spans="1:42" s="21" customFormat="1" x14ac:dyDescent="0.2"/>
    <row r="15" spans="1:42" s="21" customFormat="1" x14ac:dyDescent="0.2"/>
    <row r="16" spans="1:42" s="21" customFormat="1" x14ac:dyDescent="0.2"/>
    <row r="17" s="21" customFormat="1" x14ac:dyDescent="0.2"/>
    <row r="18" s="21" customFormat="1" x14ac:dyDescent="0.2"/>
    <row r="19" s="21" customFormat="1" x14ac:dyDescent="0.2"/>
    <row r="20" s="21" customFormat="1" x14ac:dyDescent="0.2"/>
    <row r="21" s="21" customFormat="1" x14ac:dyDescent="0.2"/>
    <row r="22" s="21" customFormat="1" x14ac:dyDescent="0.2"/>
    <row r="23" s="21" customFormat="1" x14ac:dyDescent="0.2"/>
    <row r="24" s="21" customFormat="1" x14ac:dyDescent="0.2"/>
    <row r="25" s="21" customFormat="1" x14ac:dyDescent="0.2"/>
    <row r="26" s="21" customFormat="1" x14ac:dyDescent="0.2"/>
    <row r="27" s="21" customFormat="1" x14ac:dyDescent="0.2"/>
    <row r="28" s="21" customFormat="1" x14ac:dyDescent="0.2"/>
    <row r="29" s="21" customFormat="1" x14ac:dyDescent="0.2"/>
    <row r="30" s="21" customFormat="1" x14ac:dyDescent="0.2"/>
    <row r="31" s="21" customFormat="1" x14ac:dyDescent="0.2"/>
    <row r="32" s="21" customFormat="1" x14ac:dyDescent="0.2"/>
    <row r="33" s="21" customFormat="1" x14ac:dyDescent="0.2"/>
    <row r="34" s="21" customFormat="1" x14ac:dyDescent="0.2"/>
    <row r="35" s="21" customFormat="1" x14ac:dyDescent="0.2"/>
    <row r="36" s="21" customFormat="1" x14ac:dyDescent="0.2"/>
  </sheetData>
  <pageMargins left="0.78740157499999996" right="0.78740157499999996" top="0.984251969" bottom="0.984251969" header="0.4921259845" footer="0.4921259845"/>
  <headerFooter alignWithMargins="0">
    <oddHeader>&amp;A</oddHeader>
    <oddFooter>Page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0"/>
  <dimension ref="A1:AP37"/>
  <sheetViews>
    <sheetView workbookViewId="0">
      <selection activeCell="B4" sqref="B4:F10"/>
    </sheetView>
  </sheetViews>
  <sheetFormatPr baseColWidth="10" defaultRowHeight="12.75" x14ac:dyDescent="0.2"/>
  <cols>
    <col min="1" max="1" width="3.85546875" style="21" customWidth="1"/>
    <col min="2" max="2" width="23.7109375" customWidth="1"/>
    <col min="3" max="3" width="12.42578125" customWidth="1"/>
    <col min="4" max="4" width="11.140625" customWidth="1"/>
    <col min="5" max="5" width="8.140625" bestFit="1" customWidth="1"/>
    <col min="6" max="6" width="10.42578125" customWidth="1"/>
    <col min="7" max="16" width="4.140625" style="21" customWidth="1"/>
    <col min="17" max="42" width="11.5703125" style="21" customWidth="1"/>
  </cols>
  <sheetData>
    <row r="1" spans="1:42" s="21" customFormat="1" x14ac:dyDescent="0.2"/>
    <row r="2" spans="1:42" s="6" customFormat="1" ht="27" customHeight="1" x14ac:dyDescent="0.2">
      <c r="A2" s="20"/>
      <c r="B2" s="187" t="str">
        <f>"Résultats non classés Terrain 3 Gymnase "&amp;Init!I7</f>
        <v>Résultats non classés Terrain 3 Gymnase Lycée</v>
      </c>
      <c r="C2" s="7"/>
      <c r="D2" s="7"/>
      <c r="E2" s="7"/>
      <c r="F2" s="7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176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</row>
    <row r="3" spans="1:42" s="6" customFormat="1" ht="35.450000000000003" customHeight="1" x14ac:dyDescent="0.2">
      <c r="A3" s="20"/>
      <c r="B3" s="3" t="s">
        <v>2</v>
      </c>
      <c r="C3" s="13" t="s">
        <v>4</v>
      </c>
      <c r="D3" s="13" t="s">
        <v>12</v>
      </c>
      <c r="E3" s="13" t="s">
        <v>13</v>
      </c>
      <c r="F3" s="13" t="s">
        <v>14</v>
      </c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</row>
    <row r="4" spans="1:42" s="6" customFormat="1" ht="27" customHeight="1" x14ac:dyDescent="0.2">
      <c r="A4" s="20"/>
      <c r="B4" s="22" t="str">
        <f>IF(Init!$I$6=1,IF('POULE 3'!C3="","",'POULE 3'!C3),IF('POULE 3'!G3="","",'POULE 3'!G3))</f>
        <v>TG5</v>
      </c>
      <c r="C4" s="3" t="str">
        <f>IF(ISERROR('résultats POULE 3'!L5+'résultats POULE 3'!N8+'résultats POULE 3'!N12+'résultats POULE 3'!N15+'résultats POULE 3'!L19+'résultats POULE 3'!L22),"",('résultats POULE 3'!L5+'résultats POULE 3'!N8+'résultats POULE 3'!N12+'résultats POULE 3'!N15+'résultats POULE 3'!L19+'résultats POULE 3'!L22))</f>
        <v/>
      </c>
      <c r="D4" s="3">
        <f t="shared" ref="D4:D10" si="0">E4-F4</f>
        <v>0</v>
      </c>
      <c r="E4" s="3">
        <f>'résultats POULE 3'!F5+'résultats POULE 3'!H8+'résultats POULE 3'!H12+'résultats POULE 3'!H15+'résultats POULE 3'!F19+'résultats POULE 3'!F22</f>
        <v>0</v>
      </c>
      <c r="F4" s="3">
        <f>'résultats POULE 3'!H5+'résultats POULE 3'!F8+'résultats POULE 3'!F12+'résultats POULE 3'!F15+'résultats POULE 3'!H19+'résultats POULE 3'!H22</f>
        <v>0</v>
      </c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</row>
    <row r="5" spans="1:42" s="6" customFormat="1" ht="27" customHeight="1" x14ac:dyDescent="0.2">
      <c r="A5" s="20"/>
      <c r="B5" s="22" t="str">
        <f>IF(Init!$I$6=1,IF('POULE 3'!C4="","",'POULE 3'!C4),IF('POULE 3'!G4="","",'POULE 3'!G4))</f>
        <v>2n9</v>
      </c>
      <c r="C5" s="3" t="str">
        <f>IF(ISERROR('résultats POULE 3'!N5+'résultats POULE 3'!L9+'résultats POULE 3'!L13+'résultats POULE 3'!L16+'résultats POULE 3'!L20+'résultats POULE 3'!L25),"",('résultats POULE 3'!N5+'résultats POULE 3'!L9+'résultats POULE 3'!L13+'résultats POULE 3'!L16+'résultats POULE 3'!L20+'résultats POULE 3'!L25))</f>
        <v/>
      </c>
      <c r="D5" s="3">
        <f t="shared" si="0"/>
        <v>0</v>
      </c>
      <c r="E5" s="3">
        <f>'résultats POULE 3'!H5+'résultats POULE 3'!F9+'résultats POULE 3'!F13+'résultats POULE 3'!F16+'résultats POULE 3'!F20+'résultats POULE 3'!F25</f>
        <v>0</v>
      </c>
      <c r="F5" s="3">
        <f>'résultats POULE 3'!F5+'résultats POULE 3'!H9+'résultats POULE 3'!H13+'résultats POULE 3'!H16+'résultats POULE 3'!H20+'résultats POULE 3'!H25</f>
        <v>0</v>
      </c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</row>
    <row r="6" spans="1:42" s="6" customFormat="1" ht="27" customHeight="1" x14ac:dyDescent="0.2">
      <c r="A6" s="20"/>
      <c r="B6" s="22" t="str">
        <f>IF(Init!$I$6=1,IF('POULE 3'!C5="","",'POULE 3'!C5),IF('POULE 3'!G5="","",'POULE 3'!G5))</f>
        <v>1G4</v>
      </c>
      <c r="C6" s="3" t="str">
        <f>IF(ISERROR('résultats POULE 3'!L6+'résultats POULE 3'!L10+'résultats POULE 3'!N13+'résultats POULE 3'!L17+'résultats POULE 3'!N19+'résultats POULE 3'!N23),"",('résultats POULE 3'!L6+'résultats POULE 3'!L10+'résultats POULE 3'!N13+'résultats POULE 3'!L17+'résultats POULE 3'!N19+'résultats POULE 3'!N23))</f>
        <v/>
      </c>
      <c r="D6" s="3">
        <f t="shared" si="0"/>
        <v>0</v>
      </c>
      <c r="E6" s="3">
        <f>'résultats POULE 3'!F6+'résultats POULE 3'!F10+'résultats POULE 3'!H13+'résultats POULE 3'!F17+'résultats POULE 3'!H19+'résultats POULE 3'!H23</f>
        <v>0</v>
      </c>
      <c r="F6" s="3">
        <f>'résultats POULE 3'!H6+'résultats POULE 3'!H10+'résultats POULE 3'!F13+'résultats POULE 3'!H17+'résultats POULE 3'!F19+'résultats POULE 3'!F23</f>
        <v>0</v>
      </c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</row>
    <row r="7" spans="1:42" s="6" customFormat="1" ht="27" customHeight="1" x14ac:dyDescent="0.2">
      <c r="A7" s="20"/>
      <c r="B7" s="22" t="str">
        <f>IF(Init!$I$6=1,IF('POULE 3'!C6="","",'POULE 3'!C6),IF('POULE 3'!#REF!="","",'POULE 3'!#REF!))</f>
        <v>2AGORA</v>
      </c>
      <c r="C7" s="3" t="str">
        <f>IF(ISERROR('résultats POULE 3'!N6+'résultats POULE 3'!N9+'résultats POULE 3'!L12+'résultats POULE 3'!L18+'résultats POULE 3'!L21+'résultats POULE 3'!L24),"",('résultats POULE 3'!N6+'résultats POULE 3'!N9+'résultats POULE 3'!L12+'résultats POULE 3'!L18+'résultats POULE 3'!L21+'résultats POULE 3'!L24))</f>
        <v/>
      </c>
      <c r="D7" s="3">
        <f t="shared" si="0"/>
        <v>0</v>
      </c>
      <c r="E7" s="3">
        <f>'résultats POULE 3'!H6+'résultats POULE 3'!H9+'résultats POULE 3'!F12+'résultats POULE 3'!F18+'résultats POULE 3'!F21+'résultats POULE 3'!F24</f>
        <v>0</v>
      </c>
      <c r="F7" s="3">
        <f>'résultats POULE 3'!F6+'résultats POULE 3'!F9+'résultats POULE 3'!H12+'résultats POULE 3'!H18+'résultats POULE 3'!H21+'résultats POULE 3'!H24</f>
        <v>0</v>
      </c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</row>
    <row r="8" spans="1:42" s="6" customFormat="1" ht="27" customHeight="1" x14ac:dyDescent="0.2">
      <c r="A8" s="20"/>
      <c r="B8" s="22" t="str">
        <f>IF(Init!$I$6=1,IF('POULE 3'!C7="","",'POULE 3'!C7),IF('POULE 3'!G7="","",'POULE 3'!G7))</f>
        <v>TG9</v>
      </c>
      <c r="C8" s="3" t="str">
        <f>IF(ISERROR('résultats POULE 3'!N7+'résultats POULE 3'!N10+'résultats POULE 3'!L14+'résultats POULE 3'!N18+'résultats POULE 3'!N22+'résultats POULE 3'!N25),"",('résultats POULE 3'!N7+'résultats POULE 3'!N10+'résultats POULE 3'!L14+'résultats POULE 3'!N18+'résultats POULE 3'!N22+'résultats POULE 3'!N25))</f>
        <v/>
      </c>
      <c r="D8" s="3">
        <f t="shared" si="0"/>
        <v>0</v>
      </c>
      <c r="E8" s="3">
        <f>'résultats POULE 3'!H7+'résultats POULE 3'!H10+'résultats POULE 3'!F14+'résultats POULE 3'!H18+'résultats POULE 3'!H22+'résultats POULE 3'!H25</f>
        <v>0</v>
      </c>
      <c r="F8" s="3">
        <f>'résultats POULE 3'!F7+'résultats POULE 3'!F10+'résultats POULE 3'!H14+'résultats POULE 3'!F18+'résultats POULE 3'!F22+'résultats POULE 3'!F25</f>
        <v>0</v>
      </c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</row>
    <row r="9" spans="1:42" s="6" customFormat="1" ht="27" customHeight="1" x14ac:dyDescent="0.2">
      <c r="A9" s="20"/>
      <c r="B9" s="22" t="str">
        <f>IF(Init!$I$6=1,IF('POULE 3'!C8="","",'POULE 3'!C8),IF('POULE 3'!G8="","",'POULE 3'!G8))</f>
        <v>TSTMG3</v>
      </c>
      <c r="C9" s="3" t="str">
        <f>IF(ISERROR('résultats POULE 3'!L7+'résultats POULE 3'!N11+'résultats POULE 3'!L15+'résultats POULE 3'!N17+'résultats POULE 3'!N20+'résultats POULE 3'!N24),"",('résultats POULE 3'!L7+'résultats POULE 3'!N11+'résultats POULE 3'!L15+'résultats POULE 3'!N17+'résultats POULE 3'!N20+'résultats POULE 3'!N24))</f>
        <v/>
      </c>
      <c r="D9" s="3">
        <f>E9-F9</f>
        <v>0</v>
      </c>
      <c r="E9" s="3">
        <f>'résultats POULE 3'!F7+'résultats POULE 3'!H11+'résultats POULE 3'!F15+'résultats POULE 3'!H17+'résultats POULE 3'!H20+'résultats POULE 3'!H24</f>
        <v>0</v>
      </c>
      <c r="F9" s="3">
        <f>'résultats POULE 3'!H7+'résultats POULE 3'!F11+'résultats POULE 3'!H15+'résultats POULE 3'!F17+'résultats POULE 3'!F20+'résultats POULE 3'!F24</f>
        <v>0</v>
      </c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</row>
    <row r="10" spans="1:42" ht="30" customHeight="1" x14ac:dyDescent="0.2">
      <c r="B10" s="22" t="str">
        <f>IF(Init!$I$6=1,IF('POULE 3'!C9="","",'POULE 3'!C9),IF('POULE 3'!G6="","",'POULE 3'!G6))</f>
        <v/>
      </c>
      <c r="C10" s="3" t="str">
        <f>IF(ISERROR('résultats POULE 3'!L8+'résultats POULE 3'!L11+'résultats POULE 3'!N14+'résultats POULE 3'!N16+'résultats POULE 3'!N21+'résultats POULE 3'!L23),"",('résultats POULE 3'!L8+'résultats POULE 3'!L11+'résultats POULE 3'!N14+'résultats POULE 3'!N16+'résultats POULE 3'!N21+'résultats POULE 3'!L23))</f>
        <v/>
      </c>
      <c r="D10" s="3">
        <f t="shared" si="0"/>
        <v>0</v>
      </c>
      <c r="E10" s="3">
        <f>'résultats POULE 3'!F8+'résultats POULE 3'!F11+'résultats POULE 3'!H14+'résultats POULE 3'!H16+'résultats POULE 3'!H21+'résultats POULE 3'!F23</f>
        <v>0</v>
      </c>
      <c r="F10" s="3">
        <f>'résultats POULE 3'!H8+'résultats POULE 3'!H11+'résultats POULE 3'!F14+'résultats POULE 3'!F16+'résultats POULE 3'!F21+'résultats POULE 3'!H23</f>
        <v>0</v>
      </c>
      <c r="G10" s="20"/>
    </row>
    <row r="11" spans="1:42" s="21" customFormat="1" x14ac:dyDescent="0.2">
      <c r="G11" s="20"/>
    </row>
    <row r="12" spans="1:42" s="21" customFormat="1" x14ac:dyDescent="0.2">
      <c r="B12" s="240"/>
    </row>
    <row r="13" spans="1:42" s="21" customFormat="1" x14ac:dyDescent="0.2">
      <c r="B13" s="241"/>
      <c r="C13" s="242"/>
      <c r="D13" s="243"/>
      <c r="E13" s="242"/>
    </row>
    <row r="14" spans="1:42" s="21" customFormat="1" x14ac:dyDescent="0.2">
      <c r="B14" s="241"/>
      <c r="C14" s="242"/>
      <c r="D14" s="243"/>
      <c r="E14" s="242"/>
    </row>
    <row r="15" spans="1:42" s="21" customFormat="1" x14ac:dyDescent="0.2">
      <c r="B15" s="241"/>
      <c r="C15" s="244"/>
      <c r="D15" s="244"/>
      <c r="E15" s="244"/>
    </row>
    <row r="16" spans="1:42" s="21" customFormat="1" x14ac:dyDescent="0.2">
      <c r="B16" s="241"/>
      <c r="C16" s="244"/>
      <c r="D16" s="244"/>
      <c r="E16" s="244"/>
    </row>
    <row r="17" spans="2:5" s="21" customFormat="1" x14ac:dyDescent="0.2">
      <c r="B17" s="241"/>
      <c r="C17" s="244"/>
      <c r="D17" s="244"/>
      <c r="E17" s="244"/>
    </row>
    <row r="18" spans="2:5" s="21" customFormat="1" x14ac:dyDescent="0.2">
      <c r="B18" s="241"/>
      <c r="C18" s="244"/>
      <c r="D18" s="244"/>
      <c r="E18" s="244"/>
    </row>
    <row r="19" spans="2:5" s="21" customFormat="1" x14ac:dyDescent="0.2">
      <c r="B19" s="241"/>
      <c r="C19" s="244"/>
      <c r="D19" s="244"/>
      <c r="E19" s="244"/>
    </row>
    <row r="20" spans="2:5" s="21" customFormat="1" x14ac:dyDescent="0.2">
      <c r="B20" s="241"/>
      <c r="C20" s="244"/>
      <c r="D20" s="244"/>
      <c r="E20" s="244"/>
    </row>
    <row r="21" spans="2:5" s="21" customFormat="1" x14ac:dyDescent="0.2">
      <c r="B21" s="241"/>
      <c r="C21" s="244"/>
      <c r="D21" s="244"/>
      <c r="E21" s="244"/>
    </row>
    <row r="22" spans="2:5" s="21" customFormat="1" x14ac:dyDescent="0.2">
      <c r="B22" s="241"/>
      <c r="C22" s="244"/>
      <c r="D22" s="244"/>
      <c r="E22" s="244"/>
    </row>
    <row r="23" spans="2:5" s="21" customFormat="1" x14ac:dyDescent="0.2">
      <c r="B23" s="241"/>
      <c r="C23" s="244"/>
      <c r="D23" s="244"/>
      <c r="E23" s="244"/>
    </row>
    <row r="24" spans="2:5" s="21" customFormat="1" x14ac:dyDescent="0.2">
      <c r="B24" s="241"/>
      <c r="C24" s="244"/>
      <c r="D24" s="244"/>
      <c r="E24" s="244"/>
    </row>
    <row r="25" spans="2:5" s="21" customFormat="1" x14ac:dyDescent="0.2">
      <c r="B25" s="241"/>
      <c r="C25" s="244"/>
      <c r="D25" s="244"/>
      <c r="E25" s="244"/>
    </row>
    <row r="26" spans="2:5" s="21" customFormat="1" x14ac:dyDescent="0.2">
      <c r="B26" s="241"/>
      <c r="C26" s="244"/>
      <c r="D26" s="244"/>
      <c r="E26" s="244"/>
    </row>
    <row r="27" spans="2:5" s="21" customFormat="1" x14ac:dyDescent="0.2">
      <c r="B27" s="241"/>
      <c r="C27" s="244"/>
      <c r="D27" s="244"/>
      <c r="E27" s="244"/>
    </row>
    <row r="28" spans="2:5" s="21" customFormat="1" x14ac:dyDescent="0.2"/>
    <row r="29" spans="2:5" s="21" customFormat="1" x14ac:dyDescent="0.2"/>
    <row r="30" spans="2:5" s="21" customFormat="1" x14ac:dyDescent="0.2"/>
    <row r="31" spans="2:5" s="21" customFormat="1" x14ac:dyDescent="0.2"/>
    <row r="32" spans="2:5" s="21" customFormat="1" x14ac:dyDescent="0.2"/>
    <row r="33" s="21" customFormat="1" x14ac:dyDescent="0.2"/>
    <row r="34" s="21" customFormat="1" x14ac:dyDescent="0.2"/>
    <row r="35" s="21" customFormat="1" x14ac:dyDescent="0.2"/>
    <row r="36" s="21" customFormat="1" x14ac:dyDescent="0.2"/>
    <row r="37" s="21" customFormat="1" x14ac:dyDescent="0.2"/>
  </sheetData>
  <pageMargins left="0.78740157499999996" right="0.78740157499999996" top="0.984251969" bottom="0.984251969" header="0.4921259845" footer="0.4921259845"/>
  <headerFooter alignWithMargins="0">
    <oddHeader>&amp;A</oddHeader>
    <oddFooter>Page &amp;P</oddFoot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4"/>
  <dimension ref="A1:P22"/>
  <sheetViews>
    <sheetView showGridLines="0" zoomScaleNormal="100" workbookViewId="0">
      <selection activeCell="A3" sqref="A3"/>
    </sheetView>
  </sheetViews>
  <sheetFormatPr baseColWidth="10" defaultColWidth="11.42578125" defaultRowHeight="12.75" x14ac:dyDescent="0.2"/>
  <cols>
    <col min="1" max="1" width="6.42578125" customWidth="1"/>
    <col min="2" max="2" width="23.7109375" customWidth="1"/>
    <col min="3" max="3" width="10.7109375" customWidth="1"/>
    <col min="4" max="4" width="10.28515625" customWidth="1"/>
    <col min="5" max="5" width="9.85546875" customWidth="1"/>
    <col min="6" max="6" width="10.7109375" customWidth="1"/>
    <col min="7" max="7" width="2.85546875" customWidth="1"/>
    <col min="8" max="8" width="10.5703125" bestFit="1" customWidth="1"/>
    <col min="9" max="9" width="12.7109375" bestFit="1" customWidth="1"/>
    <col min="10" max="10" width="10.7109375" customWidth="1"/>
    <col min="11" max="11" width="10.42578125" customWidth="1"/>
    <col min="12" max="12" width="2.85546875" customWidth="1"/>
    <col min="13" max="13" width="2.7109375" bestFit="1" customWidth="1"/>
    <col min="14" max="14" width="10.5703125" bestFit="1" customWidth="1"/>
    <col min="15" max="15" width="2" bestFit="1" customWidth="1"/>
    <col min="16" max="16" width="10.5703125" bestFit="1" customWidth="1"/>
    <col min="17" max="84" width="11.5703125" customWidth="1"/>
  </cols>
  <sheetData>
    <row r="1" spans="1:16" ht="13.5" thickBot="1" x14ac:dyDescent="0.25">
      <c r="M1" t="s">
        <v>152</v>
      </c>
    </row>
    <row r="2" spans="1:16" ht="26.45" customHeight="1" x14ac:dyDescent="0.2">
      <c r="A2" s="35"/>
      <c r="B2" s="36" t="str">
        <f>"Classement Terrain 1 Gymnase "&amp;Init!I7</f>
        <v>Classement Terrain 1 Gymnase Lycée</v>
      </c>
      <c r="C2" s="37"/>
      <c r="D2" s="38"/>
      <c r="E2" s="38"/>
      <c r="F2" s="39"/>
      <c r="J2" s="239" t="s">
        <v>149</v>
      </c>
      <c r="M2" s="28">
        <v>1</v>
      </c>
      <c r="N2" s="262" t="str">
        <f>'résultats POULE 1'!B5</f>
        <v>TG1</v>
      </c>
      <c r="O2" s="143" t="s">
        <v>9</v>
      </c>
      <c r="P2" s="261" t="str">
        <f>'résultats POULE 1'!D5</f>
        <v>2n11</v>
      </c>
    </row>
    <row r="3" spans="1:16" ht="39" customHeight="1" x14ac:dyDescent="0.2">
      <c r="A3" s="40"/>
      <c r="B3" s="13" t="s">
        <v>2</v>
      </c>
      <c r="C3" s="13" t="s">
        <v>4</v>
      </c>
      <c r="D3" s="13" t="s">
        <v>12</v>
      </c>
      <c r="E3" s="13" t="s">
        <v>13</v>
      </c>
      <c r="F3" s="188" t="s">
        <v>14</v>
      </c>
      <c r="H3" s="239" t="s">
        <v>148</v>
      </c>
      <c r="J3" s="245">
        <v>20</v>
      </c>
      <c r="M3" s="28">
        <v>2</v>
      </c>
      <c r="N3" s="262" t="str">
        <f>'résultats POULE 1'!B6</f>
        <v>1G1</v>
      </c>
      <c r="O3" s="143" t="s">
        <v>9</v>
      </c>
      <c r="P3" s="261" t="str">
        <f>'résultats POULE 1'!D6</f>
        <v>2n1</v>
      </c>
    </row>
    <row r="4" spans="1:16" ht="26.45" customHeight="1" x14ac:dyDescent="0.2">
      <c r="A4" s="41" t="s">
        <v>3</v>
      </c>
      <c r="B4" s="3"/>
      <c r="C4" s="250"/>
      <c r="D4" s="3"/>
      <c r="E4" s="3"/>
      <c r="F4" s="42"/>
      <c r="H4" s="252" t="s">
        <v>168</v>
      </c>
      <c r="I4" s="253" t="s">
        <v>145</v>
      </c>
      <c r="J4" s="257" t="str">
        <f>IF(H4="","",IF(OR(H4&lt;&gt;"non",H5&lt;&gt;"non"),"Nécessite de rajouter 0,1 à la",""))</f>
        <v/>
      </c>
      <c r="M4" s="28">
        <v>3</v>
      </c>
      <c r="N4" s="262" t="str">
        <f>'résultats POULE 1'!B7</f>
        <v>1STMG3</v>
      </c>
      <c r="O4" s="143" t="s">
        <v>9</v>
      </c>
      <c r="P4" s="261" t="str">
        <f>'résultats POULE 1'!D7</f>
        <v>TAGORA</v>
      </c>
    </row>
    <row r="5" spans="1:16" ht="26.45" customHeight="1" x14ac:dyDescent="0.2">
      <c r="A5" s="43"/>
      <c r="B5" s="3"/>
      <c r="C5" s="250"/>
      <c r="D5" s="3"/>
      <c r="E5" s="3"/>
      <c r="F5" s="42"/>
      <c r="H5" s="254" t="s">
        <v>168</v>
      </c>
      <c r="I5" s="253" t="s">
        <v>146</v>
      </c>
      <c r="J5" s="257" t="str">
        <f>IF(J4="","","classe gagnante si besoin")</f>
        <v/>
      </c>
      <c r="M5" s="28">
        <v>4</v>
      </c>
      <c r="N5" s="262" t="str">
        <f>'résultats POULE 1'!B8</f>
        <v/>
      </c>
      <c r="O5" s="143" t="s">
        <v>9</v>
      </c>
      <c r="P5" s="261" t="str">
        <f>'résultats POULE 1'!D8</f>
        <v>TG1</v>
      </c>
    </row>
    <row r="6" spans="1:16" ht="26.45" customHeight="1" x14ac:dyDescent="0.2">
      <c r="A6" s="43"/>
      <c r="B6" s="3"/>
      <c r="C6" s="250"/>
      <c r="D6" s="3"/>
      <c r="E6" s="3"/>
      <c r="F6" s="42"/>
      <c r="H6" s="255" t="s">
        <v>168</v>
      </c>
      <c r="I6" s="253" t="s">
        <v>147</v>
      </c>
      <c r="J6" s="422" t="str">
        <f>IF(AND(H6="",H7=""),"","Nécessite un classement à 3")</f>
        <v/>
      </c>
      <c r="K6" s="423"/>
      <c r="L6" s="133"/>
      <c r="M6" s="28">
        <v>5</v>
      </c>
      <c r="N6" s="262" t="str">
        <f>'résultats POULE 1'!B9</f>
        <v>2n11</v>
      </c>
      <c r="O6" s="143" t="s">
        <v>9</v>
      </c>
      <c r="P6" s="261" t="str">
        <f>'résultats POULE 1'!D9</f>
        <v>2n1</v>
      </c>
    </row>
    <row r="7" spans="1:16" ht="26.45" customHeight="1" x14ac:dyDescent="0.2">
      <c r="A7" s="43"/>
      <c r="B7" s="3"/>
      <c r="C7" s="250"/>
      <c r="D7" s="3"/>
      <c r="E7" s="3"/>
      <c r="F7" s="42"/>
      <c r="H7" s="256" t="s">
        <v>168</v>
      </c>
      <c r="I7" s="253" t="s">
        <v>151</v>
      </c>
      <c r="J7" s="424"/>
      <c r="K7" s="425"/>
      <c r="L7" s="133"/>
      <c r="M7" s="28">
        <v>6</v>
      </c>
      <c r="N7" s="262" t="str">
        <f>'résultats POULE 1'!B10</f>
        <v>1G1</v>
      </c>
      <c r="O7" s="143" t="s">
        <v>9</v>
      </c>
      <c r="P7" s="261" t="str">
        <f>'résultats POULE 1'!D10</f>
        <v>TAGORA</v>
      </c>
    </row>
    <row r="8" spans="1:16" ht="26.45" customHeight="1" x14ac:dyDescent="0.2">
      <c r="A8" s="43"/>
      <c r="B8" s="3"/>
      <c r="C8" s="250"/>
      <c r="D8" s="3"/>
      <c r="E8" s="3"/>
      <c r="F8" s="42"/>
      <c r="M8" s="28">
        <v>7</v>
      </c>
      <c r="N8" s="262" t="str">
        <f>'résultats POULE 1'!B11</f>
        <v/>
      </c>
      <c r="O8" s="143" t="s">
        <v>9</v>
      </c>
      <c r="P8" s="261" t="str">
        <f>'résultats POULE 1'!D11</f>
        <v>1STMG3</v>
      </c>
    </row>
    <row r="9" spans="1:16" ht="26.45" customHeight="1" x14ac:dyDescent="0.2">
      <c r="A9" s="282"/>
      <c r="B9" s="285"/>
      <c r="C9" s="288"/>
      <c r="D9" s="285"/>
      <c r="E9" s="285"/>
      <c r="F9" s="287"/>
      <c r="M9" s="28">
        <v>8</v>
      </c>
      <c r="N9" s="262" t="str">
        <f>'résultats POULE 1'!B12</f>
        <v>2n1</v>
      </c>
      <c r="O9" s="143" t="s">
        <v>9</v>
      </c>
      <c r="P9" s="261" t="str">
        <f>'résultats POULE 1'!D12</f>
        <v>TG1</v>
      </c>
    </row>
    <row r="10" spans="1:16" ht="26.45" customHeight="1" thickBot="1" x14ac:dyDescent="0.25">
      <c r="A10" s="44"/>
      <c r="B10" s="45"/>
      <c r="C10" s="251"/>
      <c r="D10" s="45"/>
      <c r="E10" s="45"/>
      <c r="F10" s="46"/>
      <c r="J10" s="258" t="str">
        <f>IF(J3="","",VLOOKUP(J3,resuLycT1,2))</f>
        <v>2n1</v>
      </c>
      <c r="K10" s="258" t="str">
        <f>IF(J3="","",VLOOKUP(J3,resuLycT1,4))</f>
        <v>1STMG3</v>
      </c>
      <c r="L10" s="258"/>
      <c r="M10" s="28">
        <v>9</v>
      </c>
      <c r="N10" s="262" t="str">
        <f>'résultats POULE 1'!B13</f>
        <v>2n11</v>
      </c>
      <c r="O10" s="143" t="s">
        <v>9</v>
      </c>
      <c r="P10" s="261" t="str">
        <f>'résultats POULE 1'!D13</f>
        <v>1G1</v>
      </c>
    </row>
    <row r="11" spans="1:16" ht="26.45" customHeight="1" thickBot="1" x14ac:dyDescent="0.25">
      <c r="I11" s="53" t="s">
        <v>150</v>
      </c>
      <c r="J11" s="420" t="str">
        <f>IF(AND(J10="",K10=""),"",IF(VLOOKUP(J3,resuLycT1,12)&gt;VLOOKUP(J3,resuLycT1,14),J10,K10))</f>
        <v>2n1</v>
      </c>
      <c r="K11" s="421"/>
      <c r="L11" s="260"/>
      <c r="M11" s="28">
        <v>10</v>
      </c>
      <c r="N11" s="262" t="str">
        <f>'résultats POULE 1'!B14</f>
        <v>TAGORA</v>
      </c>
      <c r="O11" s="143" t="s">
        <v>9</v>
      </c>
      <c r="P11" s="261" t="str">
        <f>'résultats POULE 1'!D14</f>
        <v/>
      </c>
    </row>
    <row r="12" spans="1:16" x14ac:dyDescent="0.2">
      <c r="M12" s="28">
        <v>11</v>
      </c>
      <c r="N12" s="262" t="str">
        <f>'résultats POULE 1'!B15</f>
        <v>1STMG3</v>
      </c>
      <c r="O12" s="143" t="s">
        <v>9</v>
      </c>
      <c r="P12" s="261" t="str">
        <f>'résultats POULE 1'!D15</f>
        <v>TG1</v>
      </c>
    </row>
    <row r="13" spans="1:16" x14ac:dyDescent="0.2">
      <c r="M13" s="28">
        <v>12</v>
      </c>
      <c r="N13" s="262" t="str">
        <f>'résultats POULE 1'!B16</f>
        <v>2n11</v>
      </c>
      <c r="O13" s="143" t="s">
        <v>9</v>
      </c>
      <c r="P13" s="261" t="str">
        <f>'résultats POULE 1'!D16</f>
        <v/>
      </c>
    </row>
    <row r="14" spans="1:16" x14ac:dyDescent="0.2">
      <c r="M14" s="28">
        <v>13</v>
      </c>
      <c r="N14" s="262" t="str">
        <f>'résultats POULE 1'!B17</f>
        <v>1G1</v>
      </c>
      <c r="O14" s="143" t="s">
        <v>9</v>
      </c>
      <c r="P14" s="261" t="str">
        <f>'résultats POULE 1'!D17</f>
        <v>1STMG3</v>
      </c>
    </row>
    <row r="15" spans="1:16" x14ac:dyDescent="0.2">
      <c r="M15" s="28">
        <v>14</v>
      </c>
      <c r="N15" s="262" t="str">
        <f>'résultats POULE 1'!B18</f>
        <v>2n1</v>
      </c>
      <c r="O15" s="143" t="s">
        <v>9</v>
      </c>
      <c r="P15" s="261" t="str">
        <f>'résultats POULE 1'!D18</f>
        <v>TAGORA</v>
      </c>
    </row>
    <row r="16" spans="1:16" x14ac:dyDescent="0.2">
      <c r="M16" s="28">
        <v>15</v>
      </c>
      <c r="N16" s="262" t="str">
        <f>'résultats POULE 1'!B19</f>
        <v>TG1</v>
      </c>
      <c r="O16" s="143" t="s">
        <v>9</v>
      </c>
      <c r="P16" s="261" t="str">
        <f>'résultats POULE 1'!D19</f>
        <v>1G1</v>
      </c>
    </row>
    <row r="17" spans="13:16" x14ac:dyDescent="0.2">
      <c r="M17" s="28">
        <v>16</v>
      </c>
      <c r="N17" s="262" t="str">
        <f>'résultats POULE 1'!B20</f>
        <v>2n11</v>
      </c>
      <c r="O17" s="143" t="s">
        <v>9</v>
      </c>
      <c r="P17" s="261" t="str">
        <f>'résultats POULE 1'!D20</f>
        <v>1STMG3</v>
      </c>
    </row>
    <row r="18" spans="13:16" x14ac:dyDescent="0.2">
      <c r="M18" s="28">
        <v>17</v>
      </c>
      <c r="N18" s="262" t="str">
        <f>'résultats POULE 1'!B21</f>
        <v>2n1</v>
      </c>
      <c r="O18" s="143" t="s">
        <v>9</v>
      </c>
      <c r="P18" s="261" t="str">
        <f>'résultats POULE 1'!D21</f>
        <v/>
      </c>
    </row>
    <row r="19" spans="13:16" x14ac:dyDescent="0.2">
      <c r="M19" s="28">
        <v>18</v>
      </c>
      <c r="N19" s="262" t="str">
        <f>'résultats POULE 1'!B22</f>
        <v>TG1</v>
      </c>
      <c r="O19" s="143" t="s">
        <v>9</v>
      </c>
      <c r="P19" s="261" t="str">
        <f>'résultats POULE 1'!D22</f>
        <v>TAGORA</v>
      </c>
    </row>
    <row r="20" spans="13:16" x14ac:dyDescent="0.2">
      <c r="M20" s="28">
        <v>19</v>
      </c>
      <c r="N20" s="262" t="str">
        <f>'résultats POULE 1'!B23</f>
        <v/>
      </c>
      <c r="O20" s="143" t="s">
        <v>9</v>
      </c>
      <c r="P20" s="261" t="str">
        <f>'résultats POULE 1'!D23</f>
        <v>1G1</v>
      </c>
    </row>
    <row r="21" spans="13:16" x14ac:dyDescent="0.2">
      <c r="M21" s="28">
        <v>20</v>
      </c>
      <c r="N21" s="262" t="str">
        <f>'résultats POULE 1'!B24</f>
        <v>2n1</v>
      </c>
      <c r="O21" s="143" t="s">
        <v>9</v>
      </c>
      <c r="P21" s="261" t="str">
        <f>'résultats POULE 1'!D24</f>
        <v>1STMG3</v>
      </c>
    </row>
    <row r="22" spans="13:16" x14ac:dyDescent="0.2">
      <c r="M22" s="28">
        <v>21</v>
      </c>
      <c r="N22" s="262" t="str">
        <f>'résultats POULE 1'!B25</f>
        <v>2n11</v>
      </c>
      <c r="O22" s="143" t="s">
        <v>9</v>
      </c>
      <c r="P22" s="261" t="str">
        <f>'résultats POULE 1'!D25</f>
        <v>TAGORA</v>
      </c>
    </row>
  </sheetData>
  <sheetProtection sheet="1" objects="1" scenarios="1"/>
  <sortState ref="B4:F10">
    <sortCondition descending="1" ref="C4"/>
    <sortCondition descending="1" ref="D4"/>
    <sortCondition ref="E4"/>
  </sortState>
  <mergeCells count="2">
    <mergeCell ref="J11:K11"/>
    <mergeCell ref="J6:K7"/>
  </mergeCells>
  <phoneticPr fontId="0" type="noConversion"/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Line="0" autoPict="0" macro="[0]!tri">
                <anchor moveWithCells="1" sizeWithCells="1">
                  <from>
                    <xdr:col>3</xdr:col>
                    <xdr:colOff>504825</xdr:colOff>
                    <xdr:row>10</xdr:row>
                    <xdr:rowOff>133350</xdr:rowOff>
                  </from>
                  <to>
                    <xdr:col>5</xdr:col>
                    <xdr:colOff>685800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effacer">
                <anchor moveWithCells="1" sizeWithCells="1">
                  <from>
                    <xdr:col>1</xdr:col>
                    <xdr:colOff>1171575</xdr:colOff>
                    <xdr:row>10</xdr:row>
                    <xdr:rowOff>142875</xdr:rowOff>
                  </from>
                  <to>
                    <xdr:col>3</xdr:col>
                    <xdr:colOff>381000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Line="0" autoPict="0" macro="[0]!imprimer_resultats">
                <anchor moveWithCells="1" sizeWithCells="1">
                  <from>
                    <xdr:col>2</xdr:col>
                    <xdr:colOff>476250</xdr:colOff>
                    <xdr:row>11</xdr:row>
                    <xdr:rowOff>161925</xdr:rowOff>
                  </from>
                  <to>
                    <xdr:col>5</xdr:col>
                    <xdr:colOff>266700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1"/>
  <dimension ref="A1:P22"/>
  <sheetViews>
    <sheetView showGridLines="0" zoomScaleNormal="100" workbookViewId="0">
      <selection activeCell="A3" sqref="A3"/>
    </sheetView>
  </sheetViews>
  <sheetFormatPr baseColWidth="10" defaultColWidth="11.42578125" defaultRowHeight="12.75" x14ac:dyDescent="0.2"/>
  <cols>
    <col min="1" max="1" width="6.42578125" customWidth="1"/>
    <col min="2" max="2" width="23.7109375" customWidth="1"/>
    <col min="3" max="3" width="10.7109375" customWidth="1"/>
    <col min="4" max="4" width="10.28515625" customWidth="1"/>
    <col min="5" max="5" width="9.85546875" customWidth="1"/>
    <col min="6" max="6" width="10.7109375" customWidth="1"/>
    <col min="7" max="7" width="2.85546875" customWidth="1"/>
    <col min="8" max="8" width="10.5703125" bestFit="1" customWidth="1"/>
    <col min="9" max="9" width="12.7109375" bestFit="1" customWidth="1"/>
    <col min="10" max="10" width="10.7109375" customWidth="1"/>
    <col min="11" max="11" width="10.42578125" customWidth="1"/>
    <col min="12" max="12" width="2" customWidth="1"/>
    <col min="13" max="13" width="2.7109375" bestFit="1" customWidth="1"/>
    <col min="14" max="14" width="11" bestFit="1" customWidth="1"/>
    <col min="15" max="15" width="2" bestFit="1" customWidth="1"/>
    <col min="16" max="16" width="11" bestFit="1" customWidth="1"/>
    <col min="17" max="84" width="11.5703125" customWidth="1"/>
  </cols>
  <sheetData>
    <row r="1" spans="1:16" ht="13.5" thickBot="1" x14ac:dyDescent="0.25">
      <c r="M1" t="s">
        <v>152</v>
      </c>
    </row>
    <row r="2" spans="1:16" ht="26.45" customHeight="1" x14ac:dyDescent="0.2">
      <c r="A2" s="35"/>
      <c r="B2" s="36" t="str">
        <f>"Classement Terrain 2 Gymnase "&amp;Init!I7</f>
        <v>Classement Terrain 2 Gymnase Lycée</v>
      </c>
      <c r="C2" s="37"/>
      <c r="D2" s="38"/>
      <c r="E2" s="38"/>
      <c r="F2" s="39"/>
      <c r="J2" s="239" t="s">
        <v>149</v>
      </c>
      <c r="M2" s="259">
        <v>1</v>
      </c>
      <c r="N2" s="263" t="str">
        <f>'résultats POULE 2'!B5</f>
        <v>TG3</v>
      </c>
      <c r="O2" s="264" t="s">
        <v>9</v>
      </c>
      <c r="P2" s="265" t="str">
        <f>'résultats POULE 2'!D5</f>
        <v>2n10</v>
      </c>
    </row>
    <row r="3" spans="1:16" ht="39" customHeight="1" x14ac:dyDescent="0.2">
      <c r="A3" s="40"/>
      <c r="B3" s="13" t="s">
        <v>2</v>
      </c>
      <c r="C3" s="13" t="s">
        <v>4</v>
      </c>
      <c r="D3" s="13" t="s">
        <v>12</v>
      </c>
      <c r="E3" s="13" t="s">
        <v>13</v>
      </c>
      <c r="F3" s="188" t="s">
        <v>14</v>
      </c>
      <c r="H3" s="239" t="s">
        <v>148</v>
      </c>
      <c r="J3" s="245">
        <v>20</v>
      </c>
      <c r="M3" s="259">
        <v>2</v>
      </c>
      <c r="N3" s="263" t="str">
        <f>'résultats POULE 2'!B6</f>
        <v>1G2</v>
      </c>
      <c r="O3" s="264" t="s">
        <v>9</v>
      </c>
      <c r="P3" s="265" t="str">
        <f>'résultats POULE 2'!D6</f>
        <v>2n6</v>
      </c>
    </row>
    <row r="4" spans="1:16" ht="26.45" customHeight="1" x14ac:dyDescent="0.2">
      <c r="A4" s="41" t="s">
        <v>3</v>
      </c>
      <c r="B4" s="3"/>
      <c r="C4" s="250"/>
      <c r="D4" s="3"/>
      <c r="E4" s="3"/>
      <c r="F4" s="42"/>
      <c r="H4" s="247" t="str">
        <f>IF(C4="","",IF(C4=C5,"egal 1-2","non"))</f>
        <v/>
      </c>
      <c r="I4" s="133" t="s">
        <v>145</v>
      </c>
      <c r="J4" s="257" t="str">
        <f>IF(H4="","",IF(OR(H4&lt;&gt;"non",H5&lt;&gt;"non"),"Nécessite de rajouter 0,1 à la",""))</f>
        <v/>
      </c>
      <c r="M4" s="259">
        <v>3</v>
      </c>
      <c r="N4" s="263" t="str">
        <f>'résultats POULE 2'!B7</f>
        <v>1G6</v>
      </c>
      <c r="O4" s="264" t="s">
        <v>9</v>
      </c>
      <c r="P4" s="265" t="str">
        <f>'résultats POULE 2'!D7</f>
        <v>TSTMG1</v>
      </c>
    </row>
    <row r="5" spans="1:16" ht="26.45" customHeight="1" x14ac:dyDescent="0.2">
      <c r="A5" s="43"/>
      <c r="B5" s="3"/>
      <c r="C5" s="250"/>
      <c r="D5" s="3"/>
      <c r="E5" s="3"/>
      <c r="F5" s="42"/>
      <c r="H5" s="248" t="str">
        <f>IF(C5="","",IF(C5=C6,"egal 2-3","non"))</f>
        <v/>
      </c>
      <c r="I5" s="133" t="s">
        <v>146</v>
      </c>
      <c r="J5" s="257" t="str">
        <f>IF(J4="","","classe gagnante si besoin")</f>
        <v/>
      </c>
      <c r="M5" s="259">
        <v>4</v>
      </c>
      <c r="N5" s="263" t="str">
        <f>'résultats POULE 2'!B8</f>
        <v/>
      </c>
      <c r="O5" s="264" t="s">
        <v>9</v>
      </c>
      <c r="P5" s="265" t="str">
        <f>'résultats POULE 2'!D8</f>
        <v>TG3</v>
      </c>
    </row>
    <row r="6" spans="1:16" ht="26.45" customHeight="1" x14ac:dyDescent="0.2">
      <c r="A6" s="43"/>
      <c r="B6" s="3"/>
      <c r="C6" s="250"/>
      <c r="D6" s="3"/>
      <c r="E6" s="3"/>
      <c r="F6" s="42"/>
      <c r="H6" s="249" t="str">
        <f>IF(C4="","",IF(AND(C4=C5,C5=C6),"egal 1-2-3","non"))</f>
        <v/>
      </c>
      <c r="I6" s="133" t="s">
        <v>147</v>
      </c>
      <c r="J6" s="422" t="str">
        <f>IF(AND(H6="",H7=""),"","Nécessite un classement à 3")</f>
        <v/>
      </c>
      <c r="K6" s="423"/>
      <c r="L6" s="133"/>
      <c r="M6" s="259">
        <v>5</v>
      </c>
      <c r="N6" s="263" t="str">
        <f>'résultats POULE 2'!B9</f>
        <v>2n10</v>
      </c>
      <c r="O6" s="264" t="s">
        <v>9</v>
      </c>
      <c r="P6" s="265" t="str">
        <f>'résultats POULE 2'!D9</f>
        <v>2n6</v>
      </c>
    </row>
    <row r="7" spans="1:16" ht="26.45" customHeight="1" x14ac:dyDescent="0.2">
      <c r="A7" s="43"/>
      <c r="B7" s="3"/>
      <c r="C7" s="250"/>
      <c r="D7" s="3"/>
      <c r="E7" s="3"/>
      <c r="F7" s="42"/>
      <c r="H7" s="266" t="str">
        <f>IF(C5="","",IF(AND(C5=C6,C6=C7),"egal 2-3-4","non"))</f>
        <v/>
      </c>
      <c r="I7" s="133" t="s">
        <v>151</v>
      </c>
      <c r="J7" s="424"/>
      <c r="K7" s="425"/>
      <c r="L7" s="133"/>
      <c r="M7" s="259">
        <v>6</v>
      </c>
      <c r="N7" s="263" t="str">
        <f>'résultats POULE 2'!B10</f>
        <v>1G2</v>
      </c>
      <c r="O7" s="264" t="s">
        <v>9</v>
      </c>
      <c r="P7" s="265" t="str">
        <f>'résultats POULE 2'!D10</f>
        <v>TSTMG1</v>
      </c>
    </row>
    <row r="8" spans="1:16" ht="26.45" customHeight="1" x14ac:dyDescent="0.2">
      <c r="A8" s="43"/>
      <c r="B8" s="3"/>
      <c r="C8" s="250"/>
      <c r="D8" s="3"/>
      <c r="E8" s="3"/>
      <c r="F8" s="42"/>
      <c r="M8" s="259">
        <v>7</v>
      </c>
      <c r="N8" s="263" t="str">
        <f>'résultats POULE 2'!B11</f>
        <v/>
      </c>
      <c r="O8" s="264" t="s">
        <v>9</v>
      </c>
      <c r="P8" s="265" t="str">
        <f>'résultats POULE 2'!D11</f>
        <v>1G6</v>
      </c>
    </row>
    <row r="9" spans="1:16" ht="26.45" customHeight="1" x14ac:dyDescent="0.2">
      <c r="A9" s="282"/>
      <c r="B9" s="285"/>
      <c r="C9" s="288"/>
      <c r="D9" s="285"/>
      <c r="E9" s="285"/>
      <c r="F9" s="287"/>
      <c r="M9" s="259">
        <v>8</v>
      </c>
      <c r="N9" s="263" t="str">
        <f>'résultats POULE 2'!B12</f>
        <v>2n6</v>
      </c>
      <c r="O9" s="264" t="s">
        <v>9</v>
      </c>
      <c r="P9" s="265" t="str">
        <f>'résultats POULE 2'!D12</f>
        <v>TG3</v>
      </c>
    </row>
    <row r="10" spans="1:16" ht="26.45" customHeight="1" thickBot="1" x14ac:dyDescent="0.25">
      <c r="A10" s="44"/>
      <c r="B10" s="45"/>
      <c r="C10" s="251"/>
      <c r="D10" s="45"/>
      <c r="E10" s="45"/>
      <c r="F10" s="46"/>
      <c r="J10" s="246" t="str">
        <f>IF(J3="","",VLOOKUP(J3,resuLycT2,2))</f>
        <v>2n6</v>
      </c>
      <c r="K10" s="246" t="str">
        <f>IF(J3="","",VLOOKUP(J3,resuLycT2,4))</f>
        <v>1G6</v>
      </c>
      <c r="L10" s="246"/>
      <c r="M10" s="259">
        <v>9</v>
      </c>
      <c r="N10" s="263" t="str">
        <f>'résultats POULE 2'!B13</f>
        <v>2n10</v>
      </c>
      <c r="O10" s="264" t="s">
        <v>9</v>
      </c>
      <c r="P10" s="265" t="str">
        <f>'résultats POULE 2'!D13</f>
        <v>1G2</v>
      </c>
    </row>
    <row r="11" spans="1:16" ht="26.45" customHeight="1" x14ac:dyDescent="0.2">
      <c r="I11" s="53" t="s">
        <v>150</v>
      </c>
      <c r="J11" s="426" t="str">
        <f>IF(AND(J10="",K10=""),"",IF(VLOOKUP(J3,resuLycT2,12)&gt;VLOOKUP(J3,resuLycT2,14),J10,K10))</f>
        <v>2n6</v>
      </c>
      <c r="K11" s="427"/>
      <c r="L11" s="260"/>
      <c r="M11" s="259">
        <v>10</v>
      </c>
      <c r="N11" s="263" t="str">
        <f>'résultats POULE 2'!B14</f>
        <v>TSTMG1</v>
      </c>
      <c r="O11" s="264" t="s">
        <v>9</v>
      </c>
      <c r="P11" s="265" t="str">
        <f>'résultats POULE 2'!D14</f>
        <v/>
      </c>
    </row>
    <row r="12" spans="1:16" x14ac:dyDescent="0.2">
      <c r="M12" s="259">
        <v>11</v>
      </c>
      <c r="N12" s="263" t="str">
        <f>'résultats POULE 2'!B15</f>
        <v>1G6</v>
      </c>
      <c r="O12" s="264" t="s">
        <v>9</v>
      </c>
      <c r="P12" s="265" t="str">
        <f>'résultats POULE 2'!D15</f>
        <v>TG3</v>
      </c>
    </row>
    <row r="13" spans="1:16" x14ac:dyDescent="0.2">
      <c r="M13" s="259">
        <v>12</v>
      </c>
      <c r="N13" s="263" t="str">
        <f>'résultats POULE 2'!B16</f>
        <v>2n10</v>
      </c>
      <c r="O13" s="264" t="s">
        <v>9</v>
      </c>
      <c r="P13" s="265" t="str">
        <f>'résultats POULE 2'!D16</f>
        <v/>
      </c>
    </row>
    <row r="14" spans="1:16" x14ac:dyDescent="0.2">
      <c r="M14" s="259">
        <v>13</v>
      </c>
      <c r="N14" s="263" t="str">
        <f>'résultats POULE 2'!B17</f>
        <v>1G2</v>
      </c>
      <c r="O14" s="264" t="s">
        <v>9</v>
      </c>
      <c r="P14" s="265" t="str">
        <f>'résultats POULE 2'!D17</f>
        <v>1G6</v>
      </c>
    </row>
    <row r="15" spans="1:16" x14ac:dyDescent="0.2">
      <c r="M15" s="259">
        <v>14</v>
      </c>
      <c r="N15" s="263" t="str">
        <f>'résultats POULE 2'!B18</f>
        <v>2n6</v>
      </c>
      <c r="O15" s="264" t="s">
        <v>9</v>
      </c>
      <c r="P15" s="265" t="str">
        <f>'résultats POULE 2'!D18</f>
        <v>TSTMG1</v>
      </c>
    </row>
    <row r="16" spans="1:16" x14ac:dyDescent="0.2">
      <c r="M16" s="259">
        <v>15</v>
      </c>
      <c r="N16" s="263" t="str">
        <f>'résultats POULE 2'!B19</f>
        <v>TG3</v>
      </c>
      <c r="O16" s="264" t="s">
        <v>9</v>
      </c>
      <c r="P16" s="265" t="str">
        <f>'résultats POULE 2'!D19</f>
        <v>1G2</v>
      </c>
    </row>
    <row r="17" spans="13:16" x14ac:dyDescent="0.2">
      <c r="M17" s="259">
        <v>16</v>
      </c>
      <c r="N17" s="263" t="str">
        <f>'résultats POULE 2'!B20</f>
        <v>2n10</v>
      </c>
      <c r="O17" s="264" t="s">
        <v>9</v>
      </c>
      <c r="P17" s="265" t="str">
        <f>'résultats POULE 2'!D20</f>
        <v>1G6</v>
      </c>
    </row>
    <row r="18" spans="13:16" x14ac:dyDescent="0.2">
      <c r="M18" s="259">
        <v>17</v>
      </c>
      <c r="N18" s="263" t="str">
        <f>'résultats POULE 2'!B21</f>
        <v>2n6</v>
      </c>
      <c r="O18" s="264" t="s">
        <v>9</v>
      </c>
      <c r="P18" s="265" t="str">
        <f>'résultats POULE 2'!D21</f>
        <v/>
      </c>
    </row>
    <row r="19" spans="13:16" x14ac:dyDescent="0.2">
      <c r="M19" s="259">
        <v>18</v>
      </c>
      <c r="N19" s="263" t="str">
        <f>'résultats POULE 2'!B22</f>
        <v>TG3</v>
      </c>
      <c r="O19" s="264" t="s">
        <v>9</v>
      </c>
      <c r="P19" s="265" t="str">
        <f>'résultats POULE 2'!D22</f>
        <v>TSTMG1</v>
      </c>
    </row>
    <row r="20" spans="13:16" x14ac:dyDescent="0.2">
      <c r="M20" s="259">
        <v>19</v>
      </c>
      <c r="N20" s="263" t="str">
        <f>'résultats POULE 2'!B23</f>
        <v/>
      </c>
      <c r="O20" s="264" t="s">
        <v>9</v>
      </c>
      <c r="P20" s="265" t="str">
        <f>'résultats POULE 2'!D23</f>
        <v>1G2</v>
      </c>
    </row>
    <row r="21" spans="13:16" x14ac:dyDescent="0.2">
      <c r="M21" s="259">
        <v>20</v>
      </c>
      <c r="N21" s="263" t="str">
        <f>'résultats POULE 2'!B24</f>
        <v>2n6</v>
      </c>
      <c r="O21" s="264" t="s">
        <v>9</v>
      </c>
      <c r="P21" s="265" t="str">
        <f>'résultats POULE 2'!D24</f>
        <v>1G6</v>
      </c>
    </row>
    <row r="22" spans="13:16" x14ac:dyDescent="0.2">
      <c r="M22" s="259">
        <v>21</v>
      </c>
      <c r="N22" s="263" t="str">
        <f>'résultats POULE 2'!B25</f>
        <v>2n10</v>
      </c>
      <c r="O22" s="264" t="s">
        <v>9</v>
      </c>
      <c r="P22" s="265" t="str">
        <f>'résultats POULE 2'!D25</f>
        <v>TSTMG1</v>
      </c>
    </row>
  </sheetData>
  <sheetProtection sheet="1" objects="1" scenarios="1"/>
  <sortState ref="B4:F10">
    <sortCondition descending="1" ref="C4"/>
    <sortCondition descending="1" ref="D4"/>
    <sortCondition ref="E4"/>
  </sortState>
  <mergeCells count="2">
    <mergeCell ref="J11:K11"/>
    <mergeCell ref="J6:K7"/>
  </mergeCell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Line="0" autoPict="0" macro="[0]!triB">
                <anchor moveWithCells="1" sizeWithCells="1">
                  <from>
                    <xdr:col>3</xdr:col>
                    <xdr:colOff>504825</xdr:colOff>
                    <xdr:row>10</xdr:row>
                    <xdr:rowOff>133350</xdr:rowOff>
                  </from>
                  <to>
                    <xdr:col>5</xdr:col>
                    <xdr:colOff>685800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effacer">
                <anchor moveWithCells="1" sizeWithCells="1">
                  <from>
                    <xdr:col>1</xdr:col>
                    <xdr:colOff>1171575</xdr:colOff>
                    <xdr:row>10</xdr:row>
                    <xdr:rowOff>142875</xdr:rowOff>
                  </from>
                  <to>
                    <xdr:col>3</xdr:col>
                    <xdr:colOff>381000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Line="0" autoPict="0" macro="[0]!imprimer_resultats">
                <anchor moveWithCells="1" sizeWithCells="1">
                  <from>
                    <xdr:col>2</xdr:col>
                    <xdr:colOff>476250</xdr:colOff>
                    <xdr:row>11</xdr:row>
                    <xdr:rowOff>161925</xdr:rowOff>
                  </from>
                  <to>
                    <xdr:col>5</xdr:col>
                    <xdr:colOff>266700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12"/>
  <dimension ref="A1:P22"/>
  <sheetViews>
    <sheetView showGridLines="0" zoomScaleNormal="100" workbookViewId="0">
      <selection activeCell="A3" sqref="A3"/>
    </sheetView>
  </sheetViews>
  <sheetFormatPr baseColWidth="10" defaultColWidth="11.42578125" defaultRowHeight="12.75" x14ac:dyDescent="0.2"/>
  <cols>
    <col min="1" max="1" width="6.42578125" customWidth="1"/>
    <col min="2" max="2" width="23.7109375" customWidth="1"/>
    <col min="3" max="3" width="10.7109375" customWidth="1"/>
    <col min="4" max="4" width="10.28515625" customWidth="1"/>
    <col min="5" max="5" width="9.85546875" customWidth="1"/>
    <col min="6" max="6" width="10.7109375" customWidth="1"/>
    <col min="7" max="7" width="2.85546875" customWidth="1"/>
    <col min="8" max="8" width="7.5703125" bestFit="1" customWidth="1"/>
    <col min="9" max="9" width="13.85546875" bestFit="1" customWidth="1"/>
    <col min="10" max="10" width="10.7109375" customWidth="1"/>
    <col min="11" max="11" width="11.5703125" customWidth="1"/>
    <col min="12" max="12" width="2.28515625" customWidth="1"/>
    <col min="13" max="13" width="2.7109375" bestFit="1" customWidth="1"/>
    <col min="14" max="14" width="10" bestFit="1" customWidth="1"/>
    <col min="15" max="15" width="2.28515625" customWidth="1"/>
    <col min="16" max="16" width="10" bestFit="1" customWidth="1"/>
    <col min="17" max="85" width="11.5703125" customWidth="1"/>
  </cols>
  <sheetData>
    <row r="1" spans="1:16" ht="13.5" thickBot="1" x14ac:dyDescent="0.25">
      <c r="M1" t="s">
        <v>152</v>
      </c>
    </row>
    <row r="2" spans="1:16" ht="26.45" customHeight="1" x14ac:dyDescent="0.2">
      <c r="A2" s="35"/>
      <c r="B2" s="36" t="str">
        <f>"Classement Terrain 3 Gymnase "&amp;Init!I7</f>
        <v>Classement Terrain 3 Gymnase Lycée</v>
      </c>
      <c r="C2" s="37"/>
      <c r="D2" s="38"/>
      <c r="E2" s="38"/>
      <c r="F2" s="39"/>
      <c r="J2" s="239" t="s">
        <v>149</v>
      </c>
      <c r="M2" s="28">
        <v>1</v>
      </c>
      <c r="N2" s="267" t="str">
        <f>'résultats POULE 3'!B5</f>
        <v>TG5</v>
      </c>
      <c r="O2" s="264"/>
      <c r="P2" s="268" t="str">
        <f>'résultats POULE 3'!D5</f>
        <v>2n9</v>
      </c>
    </row>
    <row r="3" spans="1:16" ht="39" customHeight="1" x14ac:dyDescent="0.2">
      <c r="A3" s="40"/>
      <c r="B3" s="13" t="s">
        <v>2</v>
      </c>
      <c r="C3" s="13" t="s">
        <v>4</v>
      </c>
      <c r="D3" s="13" t="s">
        <v>12</v>
      </c>
      <c r="E3" s="13" t="s">
        <v>13</v>
      </c>
      <c r="F3" s="188" t="s">
        <v>14</v>
      </c>
      <c r="H3" s="239" t="s">
        <v>148</v>
      </c>
      <c r="J3" s="245">
        <v>8</v>
      </c>
      <c r="K3" s="239"/>
      <c r="L3" s="239"/>
      <c r="M3" s="28">
        <v>2</v>
      </c>
      <c r="N3" s="267" t="str">
        <f>'résultats POULE 3'!B6</f>
        <v>1G4</v>
      </c>
      <c r="O3" s="264"/>
      <c r="P3" s="268" t="str">
        <f>'résultats POULE 3'!D6</f>
        <v>2AGORA</v>
      </c>
    </row>
    <row r="4" spans="1:16" ht="26.45" customHeight="1" x14ac:dyDescent="0.2">
      <c r="A4" s="41" t="s">
        <v>3</v>
      </c>
      <c r="B4" s="22"/>
      <c r="C4" s="276"/>
      <c r="D4" s="3"/>
      <c r="E4" s="3"/>
      <c r="F4" s="189"/>
      <c r="H4" s="247" t="str">
        <f>IF(C4="","",IF(C4=C5,"egal 1-2","non"))</f>
        <v/>
      </c>
      <c r="I4" s="133" t="s">
        <v>145</v>
      </c>
      <c r="J4" s="257" t="str">
        <f>IF(H4="","",IF(OR(H4&lt;&gt;"non",H5&lt;&gt;"non"),"Nécessite de rajouter 0,1 à la",""))</f>
        <v/>
      </c>
      <c r="K4" s="253"/>
      <c r="L4" s="253"/>
      <c r="M4" s="28">
        <v>3</v>
      </c>
      <c r="N4" s="267" t="str">
        <f>'résultats POULE 3'!B7</f>
        <v>TSTMG3</v>
      </c>
      <c r="O4" s="264"/>
      <c r="P4" s="268" t="str">
        <f>'résultats POULE 3'!D7</f>
        <v>TG9</v>
      </c>
    </row>
    <row r="5" spans="1:16" ht="26.45" customHeight="1" x14ac:dyDescent="0.2">
      <c r="A5" s="43"/>
      <c r="B5" s="22"/>
      <c r="C5" s="276"/>
      <c r="D5" s="3"/>
      <c r="E5" s="3"/>
      <c r="F5" s="189"/>
      <c r="H5" s="248" t="str">
        <f>IF(C5="","",IF(C5=C6,"egal 2-3","non"))</f>
        <v/>
      </c>
      <c r="I5" s="133" t="s">
        <v>146</v>
      </c>
      <c r="J5" s="257" t="str">
        <f>IF(J4="","","classe gagnante si besoin")</f>
        <v/>
      </c>
      <c r="K5" s="253"/>
      <c r="L5" s="253"/>
      <c r="M5" s="28">
        <v>4</v>
      </c>
      <c r="N5" s="267" t="str">
        <f>'résultats POULE 3'!B8</f>
        <v/>
      </c>
      <c r="O5" s="264"/>
      <c r="P5" s="268" t="str">
        <f>'résultats POULE 3'!D8</f>
        <v>TG5</v>
      </c>
    </row>
    <row r="6" spans="1:16" ht="26.45" customHeight="1" x14ac:dyDescent="0.2">
      <c r="A6" s="43"/>
      <c r="B6" s="22"/>
      <c r="C6" s="276"/>
      <c r="D6" s="3"/>
      <c r="E6" s="3"/>
      <c r="F6" s="189"/>
      <c r="H6" s="249" t="str">
        <f>IF(C4="","",IF(AND(C4=C5,C5=C6),"egal 1-2-3","non"))</f>
        <v/>
      </c>
      <c r="I6" s="133" t="s">
        <v>147</v>
      </c>
      <c r="J6" s="422" t="str">
        <f>IF(AND(H6="",H7=""),"","Nécessite un classement à 3")</f>
        <v/>
      </c>
      <c r="K6" s="423"/>
      <c r="L6" s="133"/>
      <c r="M6" s="28">
        <v>5</v>
      </c>
      <c r="N6" s="267" t="str">
        <f>'résultats POULE 3'!B9</f>
        <v>2n9</v>
      </c>
      <c r="O6" s="264"/>
      <c r="P6" s="268" t="str">
        <f>'résultats POULE 3'!D9</f>
        <v>2AGORA</v>
      </c>
    </row>
    <row r="7" spans="1:16" ht="26.45" customHeight="1" x14ac:dyDescent="0.2">
      <c r="A7" s="43"/>
      <c r="B7" s="22"/>
      <c r="C7" s="276"/>
      <c r="D7" s="3"/>
      <c r="E7" s="3"/>
      <c r="F7" s="189"/>
      <c r="H7" s="266" t="str">
        <f>IF(C5="","",IF(AND(C5=C6,C6=C7),"egal 2-3-4","non"))</f>
        <v/>
      </c>
      <c r="I7" s="133" t="s">
        <v>151</v>
      </c>
      <c r="J7" s="424"/>
      <c r="K7" s="425"/>
      <c r="L7" s="133"/>
      <c r="M7" s="28">
        <v>6</v>
      </c>
      <c r="N7" s="267" t="str">
        <f>'résultats POULE 3'!B10</f>
        <v>1G4</v>
      </c>
      <c r="O7" s="264"/>
      <c r="P7" s="268" t="str">
        <f>'résultats POULE 3'!D10</f>
        <v>TG9</v>
      </c>
    </row>
    <row r="8" spans="1:16" ht="26.45" customHeight="1" x14ac:dyDescent="0.2">
      <c r="A8" s="43"/>
      <c r="B8" s="22"/>
      <c r="C8" s="276"/>
      <c r="D8" s="3"/>
      <c r="E8" s="3"/>
      <c r="F8" s="189"/>
      <c r="M8" s="28">
        <v>7</v>
      </c>
      <c r="N8" s="267" t="str">
        <f>'résultats POULE 3'!B11</f>
        <v/>
      </c>
      <c r="O8" s="264"/>
      <c r="P8" s="268" t="str">
        <f>'résultats POULE 3'!D11</f>
        <v>TSTMG3</v>
      </c>
    </row>
    <row r="9" spans="1:16" ht="26.45" customHeight="1" x14ac:dyDescent="0.2">
      <c r="A9" s="282"/>
      <c r="B9" s="283"/>
      <c r="C9" s="284"/>
      <c r="D9" s="285"/>
      <c r="E9" s="285"/>
      <c r="F9" s="286"/>
      <c r="M9" s="28">
        <v>8</v>
      </c>
      <c r="N9" s="267" t="str">
        <f>'résultats POULE 3'!B12</f>
        <v>2AGORA</v>
      </c>
      <c r="O9" s="264"/>
      <c r="P9" s="268" t="str">
        <f>'résultats POULE 3'!D12</f>
        <v>TG5</v>
      </c>
    </row>
    <row r="10" spans="1:16" ht="26.45" customHeight="1" thickBot="1" x14ac:dyDescent="0.25">
      <c r="A10" s="44"/>
      <c r="B10" s="190"/>
      <c r="C10" s="277"/>
      <c r="D10" s="45"/>
      <c r="E10" s="45"/>
      <c r="F10" s="191"/>
      <c r="J10" s="246" t="str">
        <f>IF(J3="","",VLOOKUP(J3,resuLycT3,2))</f>
        <v>2AGORA</v>
      </c>
      <c r="K10" s="246" t="str">
        <f>IF(J3="","",VLOOKUP(J3,resuLycT3,4))</f>
        <v>TG5</v>
      </c>
      <c r="L10" s="246"/>
      <c r="M10" s="28">
        <v>9</v>
      </c>
      <c r="N10" s="267" t="str">
        <f>'résultats POULE 3'!B13</f>
        <v>2n9</v>
      </c>
      <c r="O10" s="264"/>
      <c r="P10" s="268" t="str">
        <f>'résultats POULE 3'!D13</f>
        <v>1G4</v>
      </c>
    </row>
    <row r="11" spans="1:16" ht="26.45" customHeight="1" x14ac:dyDescent="0.2">
      <c r="I11" s="53" t="s">
        <v>150</v>
      </c>
      <c r="J11" s="426" t="str">
        <f>IF(AND(J10="",K10=""),"",IF(VLOOKUP(J3,resuLycT3,12)&gt;VLOOKUP(J3,resuLycT3,14),J10,K10))</f>
        <v>2AGORA</v>
      </c>
      <c r="K11" s="427"/>
      <c r="L11" s="260"/>
      <c r="M11" s="28">
        <v>10</v>
      </c>
      <c r="N11" s="267" t="str">
        <f>'résultats POULE 3'!B14</f>
        <v>TG9</v>
      </c>
      <c r="O11" s="264"/>
      <c r="P11" s="268" t="str">
        <f>'résultats POULE 3'!D14</f>
        <v/>
      </c>
    </row>
    <row r="12" spans="1:16" x14ac:dyDescent="0.2">
      <c r="M12" s="28">
        <v>11</v>
      </c>
      <c r="N12" s="267" t="str">
        <f>'résultats POULE 3'!B15</f>
        <v>TSTMG3</v>
      </c>
      <c r="O12" s="264"/>
      <c r="P12" s="268" t="str">
        <f>'résultats POULE 3'!D15</f>
        <v>TG5</v>
      </c>
    </row>
    <row r="13" spans="1:16" x14ac:dyDescent="0.2">
      <c r="M13" s="28">
        <v>12</v>
      </c>
      <c r="N13" s="267" t="str">
        <f>'résultats POULE 3'!B16</f>
        <v>2n9</v>
      </c>
      <c r="O13" s="264"/>
      <c r="P13" s="268" t="str">
        <f>'résultats POULE 3'!D16</f>
        <v/>
      </c>
    </row>
    <row r="14" spans="1:16" x14ac:dyDescent="0.2">
      <c r="M14" s="28">
        <v>13</v>
      </c>
      <c r="N14" s="267" t="str">
        <f>'résultats POULE 3'!B17</f>
        <v>1G4</v>
      </c>
      <c r="O14" s="264"/>
      <c r="P14" s="268" t="str">
        <f>'résultats POULE 3'!D17</f>
        <v>TSTMG3</v>
      </c>
    </row>
    <row r="15" spans="1:16" x14ac:dyDescent="0.2">
      <c r="M15" s="28">
        <v>14</v>
      </c>
      <c r="N15" s="267" t="str">
        <f>'résultats POULE 3'!B18</f>
        <v>2AGORA</v>
      </c>
      <c r="O15" s="264"/>
      <c r="P15" s="268" t="str">
        <f>'résultats POULE 3'!D18</f>
        <v>TG9</v>
      </c>
    </row>
    <row r="16" spans="1:16" x14ac:dyDescent="0.2">
      <c r="M16" s="28">
        <v>15</v>
      </c>
      <c r="N16" s="267" t="str">
        <f>'résultats POULE 3'!B19</f>
        <v>TG5</v>
      </c>
      <c r="O16" s="264"/>
      <c r="P16" s="268" t="str">
        <f>'résultats POULE 3'!D19</f>
        <v>1G4</v>
      </c>
    </row>
    <row r="17" spans="13:16" x14ac:dyDescent="0.2">
      <c r="M17" s="28">
        <v>16</v>
      </c>
      <c r="N17" s="267" t="str">
        <f>'résultats POULE 3'!B20</f>
        <v>2n9</v>
      </c>
      <c r="O17" s="264"/>
      <c r="P17" s="268" t="str">
        <f>'résultats POULE 3'!D20</f>
        <v>TSTMG3</v>
      </c>
    </row>
    <row r="18" spans="13:16" x14ac:dyDescent="0.2">
      <c r="M18" s="28">
        <v>17</v>
      </c>
      <c r="N18" s="267" t="str">
        <f>'résultats POULE 3'!B21</f>
        <v>2AGORA</v>
      </c>
      <c r="O18" s="264"/>
      <c r="P18" s="268" t="str">
        <f>'résultats POULE 3'!D21</f>
        <v/>
      </c>
    </row>
    <row r="19" spans="13:16" x14ac:dyDescent="0.2">
      <c r="M19" s="28">
        <v>18</v>
      </c>
      <c r="N19" s="267" t="str">
        <f>'résultats POULE 3'!B22</f>
        <v>TG5</v>
      </c>
      <c r="O19" s="264"/>
      <c r="P19" s="268" t="str">
        <f>'résultats POULE 3'!D22</f>
        <v>TG9</v>
      </c>
    </row>
    <row r="20" spans="13:16" x14ac:dyDescent="0.2">
      <c r="M20" s="28">
        <v>19</v>
      </c>
      <c r="N20" s="267" t="str">
        <f>'résultats POULE 3'!B23</f>
        <v/>
      </c>
      <c r="O20" s="264"/>
      <c r="P20" s="268" t="str">
        <f>'résultats POULE 3'!D23</f>
        <v>1G4</v>
      </c>
    </row>
    <row r="21" spans="13:16" x14ac:dyDescent="0.2">
      <c r="M21" s="28">
        <v>20</v>
      </c>
      <c r="N21" s="267" t="str">
        <f>'résultats POULE 3'!B24</f>
        <v>2AGORA</v>
      </c>
      <c r="O21" s="264"/>
      <c r="P21" s="268" t="str">
        <f>'résultats POULE 3'!D24</f>
        <v>TSTMG3</v>
      </c>
    </row>
    <row r="22" spans="13:16" x14ac:dyDescent="0.2">
      <c r="M22" s="28">
        <v>21</v>
      </c>
      <c r="N22" s="267" t="str">
        <f>'résultats POULE 3'!B25</f>
        <v>2n9</v>
      </c>
      <c r="O22" s="264"/>
      <c r="P22" s="268" t="str">
        <f>'résultats POULE 3'!D25</f>
        <v>TG9</v>
      </c>
    </row>
  </sheetData>
  <sheetProtection sheet="1" objects="1" scenarios="1"/>
  <sortState ref="B4:F10">
    <sortCondition descending="1" ref="C4:C10"/>
    <sortCondition descending="1" ref="D4:D10"/>
    <sortCondition ref="E4:E10"/>
  </sortState>
  <mergeCells count="2">
    <mergeCell ref="J11:K11"/>
    <mergeCell ref="J6:K7"/>
  </mergeCells>
  <pageMargins left="0.78740157499999996" right="0.78740157499999996" top="0.984251969" bottom="0.984251969" header="0.4921259845" footer="0.4921259845"/>
  <pageSetup paperSize="9" orientation="portrait" horizontalDpi="300" verticalDpi="300" r:id="rId1"/>
  <headerFooter alignWithMargins="0">
    <oddHeader>&amp;A</oddHeader>
    <oddFooter>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Line="0" autoPict="0" macro="[0]!TriC">
                <anchor moveWithCells="1" sizeWithCells="1">
                  <from>
                    <xdr:col>3</xdr:col>
                    <xdr:colOff>504825</xdr:colOff>
                    <xdr:row>10</xdr:row>
                    <xdr:rowOff>133350</xdr:rowOff>
                  </from>
                  <to>
                    <xdr:col>5</xdr:col>
                    <xdr:colOff>685800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effacer">
                <anchor moveWithCells="1" sizeWithCells="1">
                  <from>
                    <xdr:col>1</xdr:col>
                    <xdr:colOff>1171575</xdr:colOff>
                    <xdr:row>10</xdr:row>
                    <xdr:rowOff>142875</xdr:rowOff>
                  </from>
                  <to>
                    <xdr:col>3</xdr:col>
                    <xdr:colOff>381000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Line="0" autoPict="0" macro="[0]!imprimer_resultats">
                <anchor moveWithCells="1" sizeWithCells="1">
                  <from>
                    <xdr:col>2</xdr:col>
                    <xdr:colOff>476250</xdr:colOff>
                    <xdr:row>11</xdr:row>
                    <xdr:rowOff>161925</xdr:rowOff>
                  </from>
                  <to>
                    <xdr:col>5</xdr:col>
                    <xdr:colOff>266700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13"/>
  <dimension ref="A2:N25"/>
  <sheetViews>
    <sheetView workbookViewId="0">
      <selection activeCell="L21" sqref="L21:M25"/>
    </sheetView>
  </sheetViews>
  <sheetFormatPr baseColWidth="10" defaultColWidth="11.42578125" defaultRowHeight="12.75" x14ac:dyDescent="0.2"/>
  <cols>
    <col min="1" max="1" width="11.42578125" style="47"/>
    <col min="2" max="2" width="13.140625" style="47" customWidth="1"/>
    <col min="3" max="3" width="16.7109375" style="47" customWidth="1"/>
    <col min="4" max="4" width="6.140625" style="47" bestFit="1" customWidth="1"/>
    <col min="5" max="5" width="15.5703125" style="47" customWidth="1"/>
    <col min="6" max="6" width="2.85546875" style="47" customWidth="1"/>
    <col min="7" max="7" width="11.42578125" style="47"/>
    <col min="8" max="8" width="3.42578125" style="47" customWidth="1"/>
    <col min="9" max="16384" width="11.42578125" style="47"/>
  </cols>
  <sheetData>
    <row r="2" spans="1:13" ht="18" x14ac:dyDescent="0.25">
      <c r="C2" s="431" t="str">
        <f>"Fête du Volley - Lycée Val de Durance "&amp;Init!C6&amp;" / "&amp;Init!D6</f>
        <v>Fête du Volley - Lycée Val de Durance 2022 / 2023</v>
      </c>
      <c r="D2" s="431"/>
      <c r="E2" s="431"/>
      <c r="F2" s="431"/>
      <c r="G2" s="431"/>
      <c r="H2" s="431"/>
      <c r="I2" s="431"/>
    </row>
    <row r="3" spans="1:13" ht="23.25" x14ac:dyDescent="0.35">
      <c r="C3" s="428" t="s">
        <v>16</v>
      </c>
      <c r="D3" s="428"/>
      <c r="E3" s="428"/>
      <c r="F3" s="428"/>
      <c r="G3" s="428"/>
      <c r="H3" s="428"/>
      <c r="I3" s="428"/>
    </row>
    <row r="5" spans="1:13" ht="14.25" x14ac:dyDescent="0.2">
      <c r="C5" s="429" t="str">
        <f>"Quarts de Finale "&amp;Init!I7</f>
        <v>Quarts de Finale Lycée</v>
      </c>
      <c r="D5" s="429"/>
      <c r="E5" s="429"/>
    </row>
    <row r="6" spans="1:13" x14ac:dyDescent="0.2">
      <c r="J6" s="47" t="s">
        <v>162</v>
      </c>
    </row>
    <row r="7" spans="1:13" x14ac:dyDescent="0.2">
      <c r="C7" s="48" t="s">
        <v>67</v>
      </c>
      <c r="D7" s="47" t="s">
        <v>15</v>
      </c>
      <c r="E7" s="48" t="s">
        <v>68</v>
      </c>
      <c r="K7" s="47" t="s">
        <v>161</v>
      </c>
    </row>
    <row r="8" spans="1:13" ht="33" customHeight="1" x14ac:dyDescent="0.2">
      <c r="A8" s="273" t="s">
        <v>158</v>
      </c>
      <c r="B8" s="49">
        <v>1</v>
      </c>
      <c r="C8" s="50">
        <f>'classement final poul 1'!B4</f>
        <v>0</v>
      </c>
      <c r="E8" s="50">
        <f>'classement final poul 3'!B5</f>
        <v>0</v>
      </c>
      <c r="G8" s="151"/>
      <c r="H8" s="49" t="s">
        <v>1</v>
      </c>
      <c r="I8" s="151"/>
      <c r="J8" s="274" t="str">
        <f>IF(G8&gt;I8,RIGHT(C7,1),RIGHT(E7,1))</f>
        <v>3</v>
      </c>
      <c r="K8" s="273" t="s">
        <v>163</v>
      </c>
    </row>
    <row r="9" spans="1:13" ht="5.25" customHeight="1" x14ac:dyDescent="0.2">
      <c r="A9" s="273"/>
    </row>
    <row r="10" spans="1:13" x14ac:dyDescent="0.2">
      <c r="A10" s="273"/>
      <c r="C10" s="48" t="s">
        <v>69</v>
      </c>
      <c r="D10" s="47" t="s">
        <v>15</v>
      </c>
      <c r="E10" s="48" t="s">
        <v>70</v>
      </c>
      <c r="K10" s="47" t="s">
        <v>164</v>
      </c>
    </row>
    <row r="11" spans="1:13" ht="33" customHeight="1" x14ac:dyDescent="0.2">
      <c r="A11" s="273" t="s">
        <v>159</v>
      </c>
      <c r="B11" s="49">
        <v>2</v>
      </c>
      <c r="C11" s="50">
        <f>'classement final poul 2'!B4</f>
        <v>0</v>
      </c>
      <c r="E11" s="50">
        <f>'classement final poul 1'!B5</f>
        <v>0</v>
      </c>
      <c r="G11" s="151"/>
      <c r="H11" s="49" t="s">
        <v>1</v>
      </c>
      <c r="I11" s="151"/>
      <c r="J11" s="274" t="str">
        <f>IF(G11&gt;I11,RIGHT(C10,1),RIGHT(E10,1))</f>
        <v>1</v>
      </c>
      <c r="K11" s="275" t="s">
        <v>165</v>
      </c>
    </row>
    <row r="12" spans="1:13" ht="5.25" customHeight="1" x14ac:dyDescent="0.2">
      <c r="A12" s="273"/>
    </row>
    <row r="13" spans="1:13" x14ac:dyDescent="0.2">
      <c r="A13" s="273"/>
      <c r="C13" s="48" t="s">
        <v>71</v>
      </c>
      <c r="D13" s="47" t="s">
        <v>15</v>
      </c>
      <c r="E13" s="48" t="s">
        <v>72</v>
      </c>
      <c r="K13" s="47" t="s">
        <v>166</v>
      </c>
    </row>
    <row r="14" spans="1:13" ht="33" customHeight="1" x14ac:dyDescent="0.2">
      <c r="A14" s="273" t="s">
        <v>160</v>
      </c>
      <c r="B14" s="49">
        <v>3</v>
      </c>
      <c r="C14" s="50">
        <f>'classement final poul 3'!B4</f>
        <v>0</v>
      </c>
      <c r="E14" s="50">
        <f>'classement final poul 2'!B5</f>
        <v>0</v>
      </c>
      <c r="G14" s="151"/>
      <c r="H14" s="49" t="s">
        <v>1</v>
      </c>
      <c r="I14" s="151"/>
      <c r="J14" s="274" t="str">
        <f>IF(G14&gt;I14,RIGHT(C13,1),RIGHT(E13,1))</f>
        <v>2</v>
      </c>
      <c r="K14" s="275" t="s">
        <v>167</v>
      </c>
    </row>
    <row r="15" spans="1:13" x14ac:dyDescent="0.2">
      <c r="E15" s="48"/>
    </row>
    <row r="16" spans="1:13" ht="15.75" x14ac:dyDescent="0.25">
      <c r="K16" s="271" t="s">
        <v>156</v>
      </c>
      <c r="L16" s="271"/>
      <c r="M16" s="271"/>
    </row>
    <row r="17" spans="2:14" ht="15.75" x14ac:dyDescent="0.25">
      <c r="K17" s="271" t="s">
        <v>157</v>
      </c>
      <c r="L17" s="271"/>
      <c r="M17" s="271"/>
    </row>
    <row r="18" spans="2:14" ht="23.25" x14ac:dyDescent="0.35">
      <c r="C18" s="430" t="s">
        <v>17</v>
      </c>
      <c r="D18" s="430"/>
      <c r="E18" s="430"/>
      <c r="F18" s="430"/>
      <c r="G18" s="430"/>
      <c r="H18" s="430"/>
      <c r="I18" s="430"/>
      <c r="L18" s="48" t="s">
        <v>112</v>
      </c>
      <c r="M18" s="48" t="s">
        <v>113</v>
      </c>
    </row>
    <row r="20" spans="2:14" x14ac:dyDescent="0.2">
      <c r="B20" s="47" t="s">
        <v>20</v>
      </c>
      <c r="C20" s="47" t="s">
        <v>18</v>
      </c>
      <c r="G20" s="47" t="s">
        <v>19</v>
      </c>
      <c r="I20" s="47" t="s">
        <v>142</v>
      </c>
    </row>
    <row r="21" spans="2:14" ht="18" x14ac:dyDescent="0.25">
      <c r="B21" s="152" t="str">
        <f>IF(C21=C8,RIGHT(C7,1),RIGHT(E7,1))</f>
        <v>1</v>
      </c>
      <c r="C21" s="272">
        <f>IF(G8&gt;I8,C8,E8)</f>
        <v>0</v>
      </c>
      <c r="G21" s="272"/>
      <c r="I21" s="48">
        <v>1</v>
      </c>
      <c r="K21" s="47" t="s">
        <v>153</v>
      </c>
      <c r="L21" s="278">
        <f>IF(B21=B23,C23,C21)</f>
        <v>0</v>
      </c>
      <c r="M21" s="279">
        <f>IF(L21=C21,C23,C21)</f>
        <v>0</v>
      </c>
      <c r="N21" s="47" t="s">
        <v>169</v>
      </c>
    </row>
    <row r="22" spans="2:14" ht="18" x14ac:dyDescent="0.25">
      <c r="B22" s="152"/>
      <c r="C22" s="269"/>
      <c r="G22" s="270"/>
      <c r="I22" s="48"/>
      <c r="L22" s="278"/>
      <c r="M22" s="279"/>
    </row>
    <row r="23" spans="2:14" ht="18" x14ac:dyDescent="0.25">
      <c r="B23" s="152" t="str">
        <f>IF(C23=C11,RIGHT(C10,1),RIGHT(E10,1))</f>
        <v>2</v>
      </c>
      <c r="C23" s="272">
        <f>IF(G11&gt;I11,C11,E11)</f>
        <v>0</v>
      </c>
      <c r="G23" s="272"/>
      <c r="I23" s="48">
        <v>2</v>
      </c>
      <c r="K23" s="47" t="s">
        <v>154</v>
      </c>
      <c r="L23" s="278">
        <f>G23</f>
        <v>0</v>
      </c>
      <c r="M23" s="279">
        <f>G21</f>
        <v>0</v>
      </c>
      <c r="N23" s="47" t="s">
        <v>170</v>
      </c>
    </row>
    <row r="24" spans="2:14" ht="18" x14ac:dyDescent="0.25">
      <c r="B24" s="152"/>
      <c r="C24" s="269"/>
      <c r="G24" s="270"/>
      <c r="I24" s="48"/>
      <c r="L24" s="278"/>
      <c r="M24" s="279"/>
    </row>
    <row r="25" spans="2:14" ht="18" x14ac:dyDescent="0.25">
      <c r="B25" s="152" t="str">
        <f>IF(C25=C14,RIGHT(C13,1),RIGHT(E13,1))</f>
        <v>3</v>
      </c>
      <c r="C25" s="272">
        <f>IF(G14&gt;I14,C14,E14)</f>
        <v>0</v>
      </c>
      <c r="G25" s="272"/>
      <c r="I25" s="48">
        <v>3</v>
      </c>
      <c r="K25" s="47" t="s">
        <v>155</v>
      </c>
      <c r="L25" s="278">
        <f>IF(B25=B21,G25,C25)</f>
        <v>0</v>
      </c>
      <c r="M25" s="279">
        <f>IF(L25=G25,C25,G25)</f>
        <v>0</v>
      </c>
      <c r="N25" s="47" t="s">
        <v>171</v>
      </c>
    </row>
  </sheetData>
  <sheetProtection sheet="1"/>
  <mergeCells count="4">
    <mergeCell ref="C3:I3"/>
    <mergeCell ref="C5:E5"/>
    <mergeCell ref="C18:I18"/>
    <mergeCell ref="C2:I2"/>
  </mergeCells>
  <pageMargins left="0.25" right="0.25" top="0.75" bottom="0.75" header="0.3" footer="0.3"/>
  <pageSetup paperSize="9" orientation="landscape" horizontalDpi="360" verticalDpi="36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Feuil14">
    <pageSetUpPr fitToPage="1"/>
  </sheetPr>
  <dimension ref="B1:Z40"/>
  <sheetViews>
    <sheetView showGridLines="0" zoomScaleNormal="100" workbookViewId="0">
      <selection activeCell="I9" sqref="I9"/>
    </sheetView>
  </sheetViews>
  <sheetFormatPr baseColWidth="10" defaultRowHeight="12.75" x14ac:dyDescent="0.2"/>
  <cols>
    <col min="1" max="1" width="0.85546875" customWidth="1"/>
    <col min="2" max="2" width="2.140625" customWidth="1"/>
    <col min="3" max="3" width="12.28515625" bestFit="1" customWidth="1"/>
    <col min="4" max="4" width="8.28515625" customWidth="1"/>
    <col min="5" max="10" width="4" customWidth="1"/>
    <col min="11" max="11" width="3.28515625" customWidth="1"/>
    <col min="12" max="12" width="5.42578125" customWidth="1"/>
    <col min="13" max="13" width="4" customWidth="1"/>
    <col min="14" max="14" width="5.42578125" customWidth="1"/>
    <col min="15" max="17" width="4" customWidth="1"/>
    <col min="18" max="18" width="6" customWidth="1"/>
    <col min="19" max="19" width="2.28515625" customWidth="1"/>
    <col min="20" max="20" width="10.42578125" customWidth="1"/>
    <col min="21" max="21" width="2.5703125" customWidth="1"/>
    <col min="22" max="22" width="2" bestFit="1" customWidth="1"/>
    <col min="23" max="23" width="7.140625" bestFit="1" customWidth="1"/>
  </cols>
  <sheetData>
    <row r="1" spans="2:26" ht="26.25" x14ac:dyDescent="0.4">
      <c r="B1" s="434" t="str">
        <f>"Fête du Volley-ball "&amp;Init!C12&amp;"/"&amp;Init!C13&amp;"/"&amp;Init!C6</f>
        <v>Fête du Volley-ball 14/4/2022</v>
      </c>
      <c r="C1" s="434"/>
      <c r="D1" s="434"/>
      <c r="E1" s="434"/>
      <c r="F1" s="434"/>
      <c r="G1" s="434"/>
      <c r="H1" s="434"/>
      <c r="I1" s="434"/>
      <c r="J1" s="434"/>
      <c r="K1" s="434"/>
      <c r="L1" s="434"/>
      <c r="M1" s="434"/>
      <c r="N1" s="434"/>
      <c r="O1" s="434"/>
      <c r="P1" s="434"/>
      <c r="Q1" s="434"/>
      <c r="R1" s="434"/>
      <c r="S1" s="434"/>
      <c r="T1" s="434"/>
      <c r="U1" s="434"/>
    </row>
    <row r="2" spans="2:26" ht="26.25" x14ac:dyDescent="0.4">
      <c r="B2" s="434" t="s">
        <v>35</v>
      </c>
      <c r="C2" s="434"/>
      <c r="D2" s="434"/>
      <c r="E2" s="434"/>
      <c r="F2" s="434"/>
      <c r="G2" s="434"/>
      <c r="H2" s="434"/>
      <c r="I2" s="434"/>
      <c r="J2" s="434"/>
      <c r="K2" s="434"/>
      <c r="L2" s="434"/>
      <c r="M2" s="434"/>
      <c r="N2" s="434"/>
      <c r="O2" s="434"/>
      <c r="P2" s="434"/>
      <c r="Q2" s="434"/>
      <c r="R2" s="434"/>
      <c r="S2" s="434"/>
      <c r="T2" s="434"/>
      <c r="U2" s="434"/>
    </row>
    <row r="4" spans="2:26" x14ac:dyDescent="0.2"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</row>
    <row r="5" spans="2:26" ht="15.75" x14ac:dyDescent="0.25">
      <c r="B5" s="54"/>
      <c r="C5" s="54"/>
      <c r="D5" s="76" t="s">
        <v>22</v>
      </c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</row>
    <row r="6" spans="2:26" x14ac:dyDescent="0.2">
      <c r="B6" s="54"/>
      <c r="C6" s="54"/>
      <c r="D6" s="54"/>
      <c r="E6" s="162" t="s">
        <v>114</v>
      </c>
      <c r="F6" s="150"/>
      <c r="G6" s="163" t="s">
        <v>115</v>
      </c>
      <c r="H6" s="150"/>
      <c r="I6" s="164" t="s">
        <v>116</v>
      </c>
      <c r="J6" s="54"/>
      <c r="K6" s="54"/>
      <c r="L6" s="54"/>
      <c r="M6" s="54"/>
      <c r="N6" s="232" t="s">
        <v>24</v>
      </c>
      <c r="O6" s="232" t="s">
        <v>25</v>
      </c>
      <c r="P6" s="232" t="s">
        <v>26</v>
      </c>
      <c r="Q6" s="237" t="s">
        <v>143</v>
      </c>
      <c r="R6" s="237" t="s">
        <v>144</v>
      </c>
      <c r="S6" s="55" t="s">
        <v>27</v>
      </c>
      <c r="T6" s="54"/>
      <c r="U6" s="54"/>
    </row>
    <row r="7" spans="2:26" ht="18" x14ac:dyDescent="0.25">
      <c r="B7" s="54"/>
      <c r="C7" s="156">
        <f>Quart_finale!L21</f>
        <v>0</v>
      </c>
      <c r="D7" s="157"/>
      <c r="E7" s="153"/>
      <c r="F7" s="158"/>
      <c r="G7" s="154"/>
      <c r="H7" s="158"/>
      <c r="I7" s="54"/>
      <c r="J7" s="54"/>
      <c r="K7" s="160" t="str">
        <f>IF($E$7=0,"",IF(E7=E8,2,IF(E7&gt;E8,3,1)))</f>
        <v/>
      </c>
      <c r="L7" s="160" t="str">
        <f>IF($G$7=0,"",IF($G$7&gt;$G$9,3,IF(G7=G9,2,1)))</f>
        <v/>
      </c>
      <c r="M7" s="161"/>
      <c r="N7" s="235">
        <f>SUM(K7:M7)</f>
        <v>0</v>
      </c>
      <c r="O7" s="160">
        <f>SUM(E7,G7)</f>
        <v>0</v>
      </c>
      <c r="P7" s="160">
        <f>SUM(E8,G9)</f>
        <v>0</v>
      </c>
      <c r="Q7" s="160">
        <f>O7-P7</f>
        <v>0</v>
      </c>
      <c r="R7" s="160" t="e">
        <f>O7/P7</f>
        <v>#DIV/0!</v>
      </c>
      <c r="S7" s="458" t="e">
        <f>IF(OR($N$7=$N$8,$N$8=$N$9),RANK(R7,$R$7:$R$9),RANK(N7,$N$7:$N$9))</f>
        <v>#DIV/0!</v>
      </c>
      <c r="T7" s="458"/>
      <c r="U7" s="54"/>
      <c r="V7" s="6" t="str">
        <f>IF(N7=0,"",VALUE(S7))</f>
        <v/>
      </c>
      <c r="W7" s="230" t="str">
        <f>IF(V7="","",C7)</f>
        <v/>
      </c>
      <c r="Y7" s="166"/>
      <c r="Z7" s="102"/>
    </row>
    <row r="8" spans="2:26" ht="18" x14ac:dyDescent="0.25">
      <c r="B8" s="54"/>
      <c r="C8" s="156">
        <f>Quart_finale!L23</f>
        <v>0</v>
      </c>
      <c r="D8" s="157"/>
      <c r="E8" s="153"/>
      <c r="F8" s="158"/>
      <c r="G8" s="54"/>
      <c r="H8" s="158"/>
      <c r="I8" s="155"/>
      <c r="J8" s="54"/>
      <c r="K8" s="160" t="str">
        <f>IF($K$7="","",IF($K$7=3,1,IF(K7=2,2,3)))</f>
        <v/>
      </c>
      <c r="L8" s="161"/>
      <c r="M8" s="160" t="str">
        <f>IF($I$8=0,"",IF($I$8&gt;$I$9,3,IF(I8=I9,2,1)))</f>
        <v/>
      </c>
      <c r="N8" s="235">
        <f>SUM(K8:M8)</f>
        <v>0</v>
      </c>
      <c r="O8" s="227">
        <f>SUM(E8,I8)</f>
        <v>0</v>
      </c>
      <c r="P8" s="160">
        <f>SUM(E7,I9)</f>
        <v>0</v>
      </c>
      <c r="Q8" s="160">
        <f>O8-P8</f>
        <v>0</v>
      </c>
      <c r="R8" s="160" t="e">
        <f>O8/P8</f>
        <v>#DIV/0!</v>
      </c>
      <c r="S8" s="458" t="e">
        <f>IF(OR($N$7=$N$8,$N$8=$N$9),RANK(R8,$R$7:$R$9),RANK(N8,$N$7:$N$9))</f>
        <v>#DIV/0!</v>
      </c>
      <c r="T8" s="458"/>
      <c r="U8" s="54"/>
      <c r="V8" s="6" t="str">
        <f>IF(N8=0,"",VALUE(S8))</f>
        <v/>
      </c>
      <c r="W8" s="230" t="str">
        <f>IF(V8="","",C8)</f>
        <v/>
      </c>
      <c r="Y8" s="166"/>
      <c r="Z8" s="102"/>
    </row>
    <row r="9" spans="2:26" ht="18" x14ac:dyDescent="0.25">
      <c r="B9" s="54"/>
      <c r="C9" s="156">
        <f>Quart_finale!L25</f>
        <v>0</v>
      </c>
      <c r="D9" s="158"/>
      <c r="E9" s="158"/>
      <c r="F9" s="158"/>
      <c r="G9" s="154"/>
      <c r="H9" s="158"/>
      <c r="I9" s="155"/>
      <c r="J9" s="159"/>
      <c r="K9" s="160"/>
      <c r="L9" s="160" t="str">
        <f>IF(L7="","",IF(L7=3,1,IF(L7=2,2,3)))</f>
        <v/>
      </c>
      <c r="M9" s="160" t="str">
        <f>IF(M8="","",IF(M8=3,1,IF(M8=2,2,3)))</f>
        <v/>
      </c>
      <c r="N9" s="235">
        <f>SUM(K9:M9)</f>
        <v>0</v>
      </c>
      <c r="O9" s="227">
        <f>SUM(G9,I9)</f>
        <v>0</v>
      </c>
      <c r="P9" s="160">
        <f>SUM(G7,I8)</f>
        <v>0</v>
      </c>
      <c r="Q9" s="160">
        <f>O9-P9</f>
        <v>0</v>
      </c>
      <c r="R9" s="160" t="e">
        <f>O9/P9</f>
        <v>#DIV/0!</v>
      </c>
      <c r="S9" s="458" t="e">
        <f>IF(OR($N$7=$N$8,$N$8=$N$9),RANK(R9,$R$7:$R$9),RANK(N9,$N$7:$N$9))</f>
        <v>#DIV/0!</v>
      </c>
      <c r="T9" s="458"/>
      <c r="U9" s="54"/>
      <c r="V9" s="6" t="str">
        <f>IF(N9=0,"",VALUE(S9))</f>
        <v/>
      </c>
      <c r="W9" s="230" t="str">
        <f>IF(V9="","",C9)</f>
        <v/>
      </c>
      <c r="Y9" s="166"/>
      <c r="Z9" s="102"/>
    </row>
    <row r="10" spans="2:26" x14ac:dyDescent="0.2">
      <c r="B10" s="54"/>
      <c r="C10" s="54"/>
      <c r="D10" s="54"/>
      <c r="E10" s="54"/>
      <c r="F10" s="54"/>
      <c r="G10" s="54"/>
      <c r="H10" s="54"/>
      <c r="I10" s="54"/>
      <c r="J10" s="54"/>
      <c r="K10" s="54"/>
      <c r="L10" s="54"/>
      <c r="M10" s="54"/>
      <c r="N10" s="232"/>
      <c r="O10" s="232"/>
      <c r="P10" s="232"/>
      <c r="Q10" s="232"/>
      <c r="R10" s="232"/>
      <c r="S10" s="54"/>
      <c r="T10" s="54"/>
      <c r="U10" s="54"/>
      <c r="W10" s="231"/>
    </row>
    <row r="11" spans="2:26" x14ac:dyDescent="0.2">
      <c r="N11" s="1"/>
      <c r="O11" s="1"/>
      <c r="P11" s="1"/>
      <c r="Q11" s="1"/>
      <c r="R11" s="1"/>
      <c r="W11" s="231"/>
    </row>
    <row r="12" spans="2:26" x14ac:dyDescent="0.2">
      <c r="B12" s="56"/>
      <c r="C12" s="56"/>
      <c r="D12" s="56"/>
      <c r="E12" s="56"/>
      <c r="F12" s="56"/>
      <c r="G12" s="56"/>
      <c r="H12" s="56"/>
      <c r="I12" s="56"/>
      <c r="J12" s="56"/>
      <c r="K12" s="56"/>
      <c r="L12" s="56"/>
      <c r="M12" s="56"/>
      <c r="N12" s="233"/>
      <c r="O12" s="233"/>
      <c r="P12" s="233"/>
      <c r="Q12" s="233"/>
      <c r="R12" s="233"/>
      <c r="S12" s="56"/>
      <c r="T12" s="56"/>
      <c r="U12" s="56"/>
      <c r="W12" s="231"/>
    </row>
    <row r="13" spans="2:26" ht="15.75" x14ac:dyDescent="0.25">
      <c r="B13" s="56"/>
      <c r="C13" s="56"/>
      <c r="D13" s="75" t="s">
        <v>23</v>
      </c>
      <c r="E13" s="56"/>
      <c r="F13" s="56"/>
      <c r="G13" s="56"/>
      <c r="H13" s="56"/>
      <c r="I13" s="56"/>
      <c r="J13" s="56"/>
      <c r="K13" s="56"/>
      <c r="L13" s="56"/>
      <c r="M13" s="56"/>
      <c r="N13" s="233"/>
      <c r="O13" s="233"/>
      <c r="P13" s="233"/>
      <c r="Q13" s="233"/>
      <c r="R13" s="233"/>
      <c r="S13" s="56"/>
      <c r="T13" s="56"/>
      <c r="U13" s="56"/>
      <c r="W13" s="231"/>
    </row>
    <row r="14" spans="2:26" x14ac:dyDescent="0.2">
      <c r="B14" s="56"/>
      <c r="C14" s="56"/>
      <c r="D14" s="56"/>
      <c r="E14" s="162" t="s">
        <v>114</v>
      </c>
      <c r="F14" s="165"/>
      <c r="G14" s="163" t="s">
        <v>115</v>
      </c>
      <c r="H14" s="165"/>
      <c r="I14" s="164" t="s">
        <v>116</v>
      </c>
      <c r="J14" s="56"/>
      <c r="K14" s="56"/>
      <c r="L14" s="56"/>
      <c r="M14" s="56"/>
      <c r="N14" s="233" t="s">
        <v>24</v>
      </c>
      <c r="O14" s="233" t="s">
        <v>25</v>
      </c>
      <c r="P14" s="233" t="s">
        <v>26</v>
      </c>
      <c r="Q14" s="238" t="s">
        <v>143</v>
      </c>
      <c r="R14" s="238" t="s">
        <v>144</v>
      </c>
      <c r="S14" s="229" t="s">
        <v>27</v>
      </c>
      <c r="T14" s="56"/>
      <c r="U14" s="56"/>
      <c r="W14" s="231"/>
    </row>
    <row r="15" spans="2:26" ht="18" x14ac:dyDescent="0.25">
      <c r="B15" s="56"/>
      <c r="C15" s="66">
        <f>Quart_finale!M21</f>
        <v>0</v>
      </c>
      <c r="D15" s="67"/>
      <c r="E15" s="153"/>
      <c r="F15" s="68"/>
      <c r="G15" s="154"/>
      <c r="H15" s="68"/>
      <c r="I15" s="57"/>
      <c r="J15" s="56"/>
      <c r="K15" s="223" t="str">
        <f>IF($E$15=0,"",IF($E$15&gt;$E$16,3,IF(E15=E16,2,1)))</f>
        <v/>
      </c>
      <c r="L15" s="223" t="str">
        <f>IF($G$15=0,"",IF($G$15&gt;$G$17,3,IF(G15=G17,2,1)))</f>
        <v/>
      </c>
      <c r="M15" s="228"/>
      <c r="N15" s="236">
        <f>SUM($K$15:$M$15)</f>
        <v>0</v>
      </c>
      <c r="O15" s="223">
        <f>E15+G15</f>
        <v>0</v>
      </c>
      <c r="P15" s="223">
        <f>E16+G17</f>
        <v>0</v>
      </c>
      <c r="Q15" s="234">
        <f>$O$15-$P$15</f>
        <v>0</v>
      </c>
      <c r="R15" s="234" t="e">
        <f>O15/P15</f>
        <v>#DIV/0!</v>
      </c>
      <c r="S15" s="457" t="e">
        <f>IF(OR($N$15=$N$16,$N$16=$N$17,$N$15=$N$17),RANK(R15,$R$15:$R$17),RANK(N15,$N$15:$N$17))</f>
        <v>#DIV/0!</v>
      </c>
      <c r="T15" s="457"/>
      <c r="U15" s="56"/>
      <c r="V15" s="6" t="str">
        <f>IF(N15=0,"",VALUE(S15))</f>
        <v/>
      </c>
      <c r="W15" s="230" t="str">
        <f>IF(V15="","",C15)</f>
        <v/>
      </c>
    </row>
    <row r="16" spans="2:26" ht="18" x14ac:dyDescent="0.25">
      <c r="B16" s="56"/>
      <c r="C16" s="66">
        <f>Quart_finale!M23</f>
        <v>0</v>
      </c>
      <c r="D16" s="68"/>
      <c r="E16" s="153"/>
      <c r="F16" s="68"/>
      <c r="G16" s="57"/>
      <c r="H16" s="68"/>
      <c r="I16" s="155"/>
      <c r="J16" s="56"/>
      <c r="K16" s="223" t="str">
        <f>IF($K$15="","",IF($K$15=3,1,IF(K15=2,2,3)))</f>
        <v/>
      </c>
      <c r="L16" s="228"/>
      <c r="M16" s="223" t="str">
        <f>IF($I$16=0,"",IF($I$16&gt;$I$17,3,IF(I16=I17,2,1)))</f>
        <v/>
      </c>
      <c r="N16" s="236">
        <f>SUM($K$16:$M$16)</f>
        <v>0</v>
      </c>
      <c r="O16" s="223">
        <f>E16+I16</f>
        <v>0</v>
      </c>
      <c r="P16" s="223">
        <f>E15+I17</f>
        <v>0</v>
      </c>
      <c r="Q16" s="234">
        <f>$O$16-$P$16</f>
        <v>0</v>
      </c>
      <c r="R16" s="234" t="e">
        <f>O16/P16</f>
        <v>#DIV/0!</v>
      </c>
      <c r="S16" s="457" t="e">
        <f>IF(OR($N$15=$N$16,$N$16=$N$17,$N$15=$N$17),RANK(R16,$R$15:$R$17),RANK(N16,$N$15:$N$17))</f>
        <v>#DIV/0!</v>
      </c>
      <c r="T16" s="457"/>
      <c r="U16" s="56"/>
      <c r="V16" s="6" t="str">
        <f>IF(N16=0,"",VALUE(S16))</f>
        <v/>
      </c>
      <c r="W16" s="230" t="str">
        <f>IF(V16="","",C16)</f>
        <v/>
      </c>
    </row>
    <row r="17" spans="2:23" ht="18" x14ac:dyDescent="0.25">
      <c r="B17" s="56"/>
      <c r="C17" s="66">
        <f>Quart_finale!M25</f>
        <v>0</v>
      </c>
      <c r="D17" s="68"/>
      <c r="E17" s="69" t="s">
        <v>141</v>
      </c>
      <c r="F17" s="68"/>
      <c r="G17" s="154"/>
      <c r="H17" s="68"/>
      <c r="I17" s="155"/>
      <c r="J17" s="56"/>
      <c r="K17" s="228"/>
      <c r="L17" s="223" t="str">
        <f>IF($L$15="","",IF($L$15=3,1,IF(L15=2,2,3)))</f>
        <v/>
      </c>
      <c r="M17" s="223" t="str">
        <f>IF($M$16="","",IF($M$16=3,1,IF(M16=2,2,3)))</f>
        <v/>
      </c>
      <c r="N17" s="236">
        <f>SUM($K$17:$M$17)</f>
        <v>0</v>
      </c>
      <c r="O17" s="223">
        <f>G17+I17</f>
        <v>0</v>
      </c>
      <c r="P17" s="223">
        <f>I16+G15</f>
        <v>0</v>
      </c>
      <c r="Q17" s="234">
        <f>$O$17-$P$17</f>
        <v>0</v>
      </c>
      <c r="R17" s="234" t="e">
        <f>O17/P17</f>
        <v>#DIV/0!</v>
      </c>
      <c r="S17" s="457" t="e">
        <f>IF(OR($N$15=$N$16,$N$16=$N$17,$N$15=$N$17),RANK(R17,$R$15:$R$17),RANK(N17,$N$15:$N$17))</f>
        <v>#DIV/0!</v>
      </c>
      <c r="T17" s="457"/>
      <c r="U17" s="56"/>
      <c r="V17" s="6" t="str">
        <f>IF(N17=0,"",VALUE(S17))</f>
        <v/>
      </c>
      <c r="W17" s="230" t="str">
        <f>IF(V17="","",C17)</f>
        <v/>
      </c>
    </row>
    <row r="18" spans="2:23" x14ac:dyDescent="0.2">
      <c r="B18" s="56"/>
      <c r="C18" s="56"/>
      <c r="D18" s="56"/>
      <c r="E18" s="56"/>
      <c r="F18" s="56"/>
      <c r="G18" s="56" t="s">
        <v>141</v>
      </c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T18" s="56"/>
      <c r="U18" s="56"/>
    </row>
    <row r="20" spans="2:23" ht="18" x14ac:dyDescent="0.25">
      <c r="D20" s="65" t="s">
        <v>33</v>
      </c>
    </row>
    <row r="21" spans="2:23" x14ac:dyDescent="0.2">
      <c r="L21" s="446" t="s">
        <v>29</v>
      </c>
      <c r="M21" s="446"/>
      <c r="N21" s="446"/>
    </row>
    <row r="22" spans="2:23" ht="22.5" customHeight="1" x14ac:dyDescent="0.3">
      <c r="B22" s="133">
        <v>3</v>
      </c>
      <c r="C22" s="441" t="e">
        <f>VLOOKUP(B22,demi1,2,FALSE)</f>
        <v>#N/A</v>
      </c>
      <c r="D22" s="442"/>
      <c r="E22" s="53" t="s">
        <v>28</v>
      </c>
      <c r="F22" s="443" t="e">
        <f>VLOOKUP(B22,demi2,2,FALSE)</f>
        <v>#N/A</v>
      </c>
      <c r="G22" s="444"/>
      <c r="H22" s="444"/>
      <c r="I22" s="445"/>
      <c r="L22" s="61"/>
      <c r="M22" s="53" t="s">
        <v>1</v>
      </c>
      <c r="N22" s="62"/>
    </row>
    <row r="24" spans="2:23" ht="18" x14ac:dyDescent="0.25">
      <c r="D24" s="65" t="s">
        <v>34</v>
      </c>
    </row>
    <row r="26" spans="2:23" ht="22.5" customHeight="1" x14ac:dyDescent="0.3">
      <c r="B26" s="133">
        <v>2</v>
      </c>
      <c r="C26" s="447" t="e">
        <f>VLOOKUP(B26,demi1,2,FALSE)</f>
        <v>#N/A</v>
      </c>
      <c r="D26" s="448"/>
      <c r="E26" s="53" t="s">
        <v>28</v>
      </c>
      <c r="F26" s="449" t="e">
        <f>VLOOKUP(B26,demi2,2,FALSE)</f>
        <v>#N/A</v>
      </c>
      <c r="G26" s="450"/>
      <c r="H26" s="450"/>
      <c r="I26" s="451"/>
      <c r="L26" s="63"/>
      <c r="M26" s="58" t="s">
        <v>1</v>
      </c>
      <c r="N26" s="64"/>
    </row>
    <row r="28" spans="2:23" ht="18" x14ac:dyDescent="0.25">
      <c r="D28" s="65" t="s">
        <v>32</v>
      </c>
    </row>
    <row r="30" spans="2:23" ht="20.25" x14ac:dyDescent="0.3">
      <c r="B30" s="133">
        <v>1</v>
      </c>
      <c r="C30" s="452" t="e">
        <f>VLOOKUP(B30,demi1,2,FALSE)</f>
        <v>#N/A</v>
      </c>
      <c r="D30" s="453"/>
      <c r="E30" s="53" t="s">
        <v>28</v>
      </c>
      <c r="F30" s="454" t="e">
        <f>VLOOKUP(B30,demi2,2,FALSE)</f>
        <v>#N/A</v>
      </c>
      <c r="G30" s="455"/>
      <c r="H30" s="455"/>
      <c r="I30" s="456"/>
      <c r="L30" s="59">
        <v>0</v>
      </c>
      <c r="M30" s="53"/>
      <c r="N30" s="60">
        <v>0</v>
      </c>
    </row>
    <row r="31" spans="2:23" x14ac:dyDescent="0.2">
      <c r="L31" s="358"/>
      <c r="N31" s="359"/>
    </row>
    <row r="32" spans="2:23" x14ac:dyDescent="0.2">
      <c r="J32" t="s">
        <v>141</v>
      </c>
    </row>
    <row r="33" spans="3:19" ht="26.25" x14ac:dyDescent="0.4">
      <c r="C33" s="435" t="str">
        <f>"PALMARES " &amp;Init!C6&amp;" / "&amp;Init!D6</f>
        <v>PALMARES 2022 / 2023</v>
      </c>
      <c r="D33" s="436"/>
      <c r="E33" s="436"/>
      <c r="F33" s="436"/>
      <c r="G33" s="436"/>
      <c r="H33" s="436"/>
      <c r="I33" s="436"/>
      <c r="J33" s="436"/>
      <c r="K33" s="436"/>
      <c r="L33" s="436"/>
      <c r="M33" s="436"/>
      <c r="N33" s="436"/>
      <c r="O33" s="436"/>
      <c r="P33" s="436"/>
      <c r="Q33" s="436"/>
      <c r="R33" s="436"/>
      <c r="S33" s="437"/>
    </row>
    <row r="34" spans="3:19" x14ac:dyDescent="0.2">
      <c r="C34" s="70"/>
      <c r="S34" s="71"/>
    </row>
    <row r="35" spans="3:19" ht="26.25" x14ac:dyDescent="0.4">
      <c r="C35" s="167">
        <v>1</v>
      </c>
      <c r="D35" s="438" t="str">
        <f>IF(AND(L30=0,N30=0),"",IF(L30&gt;N30,C30,F30))</f>
        <v/>
      </c>
      <c r="E35" s="438"/>
      <c r="F35" s="438"/>
      <c r="G35" s="438"/>
      <c r="H35" s="438"/>
      <c r="I35" s="168"/>
      <c r="J35" s="168"/>
      <c r="K35" s="168"/>
      <c r="L35" s="168"/>
      <c r="M35" s="168"/>
      <c r="S35" s="71"/>
    </row>
    <row r="36" spans="3:19" ht="23.25" x14ac:dyDescent="0.35">
      <c r="C36" s="167">
        <v>2</v>
      </c>
      <c r="D36" s="439" t="str">
        <f>IF(D35="","",IF(D35=C30,F30,C30))</f>
        <v/>
      </c>
      <c r="E36" s="439"/>
      <c r="F36" s="439"/>
      <c r="G36" s="439"/>
      <c r="H36" s="439"/>
      <c r="I36" s="168"/>
      <c r="J36" s="168"/>
      <c r="K36" s="168"/>
      <c r="L36" s="168"/>
      <c r="M36" s="168"/>
      <c r="S36" s="71"/>
    </row>
    <row r="37" spans="3:19" ht="20.25" x14ac:dyDescent="0.3">
      <c r="C37" s="167">
        <v>3</v>
      </c>
      <c r="D37" s="440" t="str">
        <f>IF(AND(L26=0,N26=0),"",IF(L26&gt;N26,C26,F26))</f>
        <v/>
      </c>
      <c r="E37" s="440"/>
      <c r="F37" s="440"/>
      <c r="G37" s="440"/>
      <c r="H37" s="440"/>
      <c r="I37" s="168"/>
      <c r="J37" s="168"/>
      <c r="K37" s="168"/>
      <c r="L37" s="168"/>
      <c r="M37" s="168"/>
      <c r="S37" s="71"/>
    </row>
    <row r="38" spans="3:19" ht="20.25" x14ac:dyDescent="0.3">
      <c r="C38" s="167">
        <v>4</v>
      </c>
      <c r="D38" s="432" t="str">
        <f>IF(D37="","",IF(D37=C26,F26,C26))</f>
        <v/>
      </c>
      <c r="E38" s="432"/>
      <c r="F38" s="432"/>
      <c r="G38" s="432"/>
      <c r="H38" s="432"/>
      <c r="I38" s="168"/>
      <c r="J38" s="168"/>
      <c r="K38" s="168"/>
      <c r="L38" s="168"/>
      <c r="M38" s="168"/>
      <c r="S38" s="71"/>
    </row>
    <row r="39" spans="3:19" ht="20.25" x14ac:dyDescent="0.3">
      <c r="C39" s="167">
        <v>5</v>
      </c>
      <c r="D39" s="432" t="str">
        <f>IF(AND(L22=0,N22=0),"",IF(L22&gt;N22,C22,F22))</f>
        <v/>
      </c>
      <c r="E39" s="432"/>
      <c r="F39" s="432"/>
      <c r="G39" s="432"/>
      <c r="H39" s="432"/>
      <c r="I39" s="168"/>
      <c r="J39" s="168"/>
      <c r="K39" s="168"/>
      <c r="L39" s="168"/>
      <c r="M39" s="168"/>
      <c r="S39" s="71"/>
    </row>
    <row r="40" spans="3:19" ht="20.25" x14ac:dyDescent="0.3">
      <c r="C40" s="72">
        <v>6</v>
      </c>
      <c r="D40" s="433" t="str">
        <f>IF(D39="","",IF(D39=C22,F22,C22))</f>
        <v/>
      </c>
      <c r="E40" s="433"/>
      <c r="F40" s="433"/>
      <c r="G40" s="433"/>
      <c r="H40" s="433"/>
      <c r="I40" s="73"/>
      <c r="J40" s="73"/>
      <c r="K40" s="73"/>
      <c r="L40" s="73"/>
      <c r="M40" s="73"/>
      <c r="N40" s="73"/>
      <c r="O40" s="73"/>
      <c r="P40" s="73"/>
      <c r="Q40" s="73"/>
      <c r="R40" s="73"/>
      <c r="S40" s="74"/>
    </row>
  </sheetData>
  <mergeCells count="22">
    <mergeCell ref="S15:T15"/>
    <mergeCell ref="S16:T16"/>
    <mergeCell ref="S17:T17"/>
    <mergeCell ref="S7:T7"/>
    <mergeCell ref="S8:T8"/>
    <mergeCell ref="S9:T9"/>
    <mergeCell ref="D38:H38"/>
    <mergeCell ref="D39:H39"/>
    <mergeCell ref="D40:H40"/>
    <mergeCell ref="B1:U1"/>
    <mergeCell ref="B2:U2"/>
    <mergeCell ref="C33:S33"/>
    <mergeCell ref="D35:H35"/>
    <mergeCell ref="D36:H36"/>
    <mergeCell ref="D37:H37"/>
    <mergeCell ref="C22:D22"/>
    <mergeCell ref="F22:I22"/>
    <mergeCell ref="L21:N21"/>
    <mergeCell ref="C26:D26"/>
    <mergeCell ref="F26:I26"/>
    <mergeCell ref="C30:D30"/>
    <mergeCell ref="F30:I30"/>
  </mergeCells>
  <pageMargins left="0.31496062992125984" right="0.31496062992125984" top="0.74803149606299213" bottom="0.74803149606299213" header="0.31496062992125984" footer="0.31496062992125984"/>
  <pageSetup paperSize="9" scale="76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22</vt:i4>
      </vt:variant>
      <vt:variant>
        <vt:lpstr>Plages nommées</vt:lpstr>
      </vt:variant>
      <vt:variant>
        <vt:i4>42</vt:i4>
      </vt:variant>
    </vt:vector>
  </HeadingPairs>
  <TitlesOfParts>
    <vt:vector size="64" baseType="lpstr">
      <vt:lpstr>Init</vt:lpstr>
      <vt:lpstr>POULE1</vt:lpstr>
      <vt:lpstr>POULE 2</vt:lpstr>
      <vt:lpstr>POULE 3</vt:lpstr>
      <vt:lpstr>Arb_Coul</vt:lpstr>
      <vt:lpstr>Pool_arbitres</vt:lpstr>
      <vt:lpstr>Ordre</vt:lpstr>
      <vt:lpstr>Ordre (2)</vt:lpstr>
      <vt:lpstr>Ordrepoule5</vt:lpstr>
      <vt:lpstr>resu_manuel</vt:lpstr>
      <vt:lpstr>resu_manuel (5)</vt:lpstr>
      <vt:lpstr>résultats POULE 1</vt:lpstr>
      <vt:lpstr>résultats POULE 2</vt:lpstr>
      <vt:lpstr>résultats POULE 3</vt:lpstr>
      <vt:lpstr>résultats non classés Poul1</vt:lpstr>
      <vt:lpstr>résultats non classés Poul2</vt:lpstr>
      <vt:lpstr>résultats non classés Poul3</vt:lpstr>
      <vt:lpstr>classement final poul 1</vt:lpstr>
      <vt:lpstr>classement final poul 2</vt:lpstr>
      <vt:lpstr>classement final poul 3</vt:lpstr>
      <vt:lpstr>Quart_finale</vt:lpstr>
      <vt:lpstr>Demi-F</vt:lpstr>
      <vt:lpstr>base5</vt:lpstr>
      <vt:lpstr>base6</vt:lpstr>
      <vt:lpstr>demi1</vt:lpstr>
      <vt:lpstr>demi2</vt:lpstr>
      <vt:lpstr>eqLycT1</vt:lpstr>
      <vt:lpstr>eqLycT2</vt:lpstr>
      <vt:lpstr>eqLycT3</vt:lpstr>
      <vt:lpstr>eqTouT1</vt:lpstr>
      <vt:lpstr>eqTouT2</vt:lpstr>
      <vt:lpstr>eqTouT3</vt:lpstr>
      <vt:lpstr>groupe6</vt:lpstr>
      <vt:lpstr>groupe7</vt:lpstr>
      <vt:lpstr>LycarbT1</vt:lpstr>
      <vt:lpstr>LycarbT2</vt:lpstr>
      <vt:lpstr>lycarbt3</vt:lpstr>
      <vt:lpstr>LycT1</vt:lpstr>
      <vt:lpstr>LycT2</vt:lpstr>
      <vt:lpstr>LycT3</vt:lpstr>
      <vt:lpstr>pool_arb</vt:lpstr>
      <vt:lpstr>pool1</vt:lpstr>
      <vt:lpstr>pool2</vt:lpstr>
      <vt:lpstr>pool3</vt:lpstr>
      <vt:lpstr>pool4</vt:lpstr>
      <vt:lpstr>pool5</vt:lpstr>
      <vt:lpstr>pool6</vt:lpstr>
      <vt:lpstr>poulelyc</vt:lpstr>
      <vt:lpstr>pouletou</vt:lpstr>
      <vt:lpstr>ppulelyc</vt:lpstr>
      <vt:lpstr>resuLycT1</vt:lpstr>
      <vt:lpstr>resuLycT2</vt:lpstr>
      <vt:lpstr>resuLycT3</vt:lpstr>
      <vt:lpstr>terrain_arb</vt:lpstr>
      <vt:lpstr>TouarbT1</vt:lpstr>
      <vt:lpstr>TouarbT2</vt:lpstr>
      <vt:lpstr>TouarbT3</vt:lpstr>
      <vt:lpstr>TouT1</vt:lpstr>
      <vt:lpstr>TouT2</vt:lpstr>
      <vt:lpstr>TouT3</vt:lpstr>
      <vt:lpstr>'POULE 2'!Zone_d_impression</vt:lpstr>
      <vt:lpstr>'POULE 3'!Zone_d_impression</vt:lpstr>
      <vt:lpstr>POULE1!Zone_d_impression</vt:lpstr>
      <vt:lpstr>resu_manuel!Zone_d_impression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Gallo Patrick</dc:creator>
  <cp:lastModifiedBy>CHEROUTE OLIVIER</cp:lastModifiedBy>
  <cp:lastPrinted>2022-04-06T11:10:29Z</cp:lastPrinted>
  <dcterms:created xsi:type="dcterms:W3CDTF">2000-12-26T18:06:20Z</dcterms:created>
  <dcterms:modified xsi:type="dcterms:W3CDTF">2023-03-16T11:33:23Z</dcterms:modified>
</cp:coreProperties>
</file>